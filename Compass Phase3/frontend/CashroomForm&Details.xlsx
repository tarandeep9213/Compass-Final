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ompass_IT\"/>
    </mc:Choice>
  </mc:AlternateContent>
  <xr:revisionPtr revIDLastSave="0" documentId="13_ncr:1_{1EAC1FB7-0615-473E-97D4-1B4F2CF63D6E}" xr6:coauthVersionLast="36" xr6:coauthVersionMax="47" xr10:uidLastSave="{00000000-0000-0000-0000-000000000000}"/>
  <bookViews>
    <workbookView xWindow="0" yWindow="0" windowWidth="23040" windowHeight="8940" activeTab="1" xr2:uid="{00000000-000D-0000-FFFF-FFFF00000000}"/>
  </bookViews>
  <sheets>
    <sheet name="Final Cashroom Form" sheetId="12" r:id="rId1"/>
    <sheet name="Role Terminology" sheetId="14" r:id="rId2"/>
    <sheet name="User Details" sheetId="15" r:id="rId3"/>
  </sheets>
  <definedNames>
    <definedName name="_xlnm.Print_Area" localSheetId="0">'Final Cashroom Form'!$A$1:$P$62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2" l="1"/>
  <c r="K13" i="12"/>
  <c r="L22" i="12" l="1"/>
  <c r="H22" i="12"/>
  <c r="B15" i="12"/>
  <c r="I40" i="12" s="1"/>
  <c r="I49" i="12"/>
  <c r="I46" i="12"/>
  <c r="E56" i="12"/>
  <c r="I50" i="12" s="1"/>
  <c r="E14" i="12"/>
  <c r="I41" i="12" s="1"/>
  <c r="E32" i="12"/>
  <c r="E31" i="12"/>
  <c r="E30" i="12"/>
  <c r="C24" i="12"/>
  <c r="I43" i="12" s="1"/>
  <c r="L23" i="12"/>
  <c r="H23" i="12"/>
  <c r="L21" i="12"/>
  <c r="H21" i="12"/>
  <c r="L20" i="12"/>
  <c r="H20" i="12"/>
  <c r="L19" i="12"/>
  <c r="H19" i="12"/>
  <c r="K14" i="12"/>
  <c r="L14" i="12" s="1"/>
  <c r="L13" i="12"/>
  <c r="K12" i="12"/>
  <c r="L12" i="12" s="1"/>
  <c r="K11" i="12"/>
  <c r="L11" i="12" s="1"/>
  <c r="K10" i="12"/>
  <c r="L10" i="12" s="1"/>
  <c r="K9" i="12"/>
  <c r="L9" i="12" s="1"/>
  <c r="L8" i="12"/>
  <c r="L25" i="12" l="1"/>
  <c r="I44" i="12" s="1"/>
  <c r="E33" i="12"/>
  <c r="I45" i="12" s="1"/>
  <c r="L15" i="12"/>
  <c r="I42" i="12" s="1"/>
  <c r="I48" i="12" s="1"/>
  <c r="I52" i="12" s="1"/>
  <c r="I5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Pankhuri Gupta</author>
  </authors>
  <commentList>
    <comment ref="A6" authorId="0" shapeId="0" xr:uid="{4FF49D87-ED7A-4D5F-90F4-619DAE4EEEDF}">
      <text>
        <r>
          <rPr>
            <b/>
            <sz val="9"/>
            <color indexed="81"/>
            <rFont val="Tahoma"/>
            <family val="2"/>
          </rPr>
          <t>Pankhuri Gupta:</t>
        </r>
        <r>
          <rPr>
            <sz val="9"/>
            <color indexed="81"/>
            <rFont val="Tahoma"/>
            <family val="2"/>
          </rPr>
          <t xml:space="preserve">
this is the manual count of loose paper bills</t>
        </r>
      </text>
    </comment>
    <comment ref="D6" authorId="0" shapeId="0" xr:uid="{ABEA6444-FCA9-4652-A471-189C2BD22978}">
      <text>
        <r>
          <rPr>
            <b/>
            <sz val="9"/>
            <color indexed="81"/>
            <rFont val="Tahoma"/>
            <charset val="1"/>
          </rPr>
          <t>Pankhuri Gupta:</t>
        </r>
        <r>
          <rPr>
            <sz val="9"/>
            <color indexed="81"/>
            <rFont val="Tahoma"/>
            <charset val="1"/>
          </rPr>
          <t xml:space="preserve">
these are the ready coins for vending machine tube</t>
        </r>
      </text>
    </comment>
    <comment ref="G6" authorId="0" shapeId="0" xr:uid="{2C5FEBBD-4247-48EF-985A-F8E09CD19079}">
      <text>
        <r>
          <rPr>
            <b/>
            <sz val="9"/>
            <color indexed="81"/>
            <rFont val="Tahoma"/>
            <charset val="1"/>
          </rPr>
          <t>Pankhuri Gupta:</t>
        </r>
        <r>
          <rPr>
            <sz val="9"/>
            <color indexed="81"/>
            <rFont val="Tahoma"/>
            <charset val="1"/>
          </rPr>
          <t xml:space="preserve">
Coins in the counting machine counted through speakers. Max counter can be two</t>
        </r>
      </text>
    </comment>
    <comment ref="A17" authorId="0" shapeId="0" xr:uid="{111008FF-FC03-4DDA-9C4C-15603B20200C}">
      <text>
        <r>
          <rPr>
            <b/>
            <sz val="9"/>
            <color indexed="81"/>
            <rFont val="Tahoma"/>
            <charset val="1"/>
          </rPr>
          <t>Pankhuri Gupta:</t>
        </r>
        <r>
          <rPr>
            <sz val="9"/>
            <color indexed="81"/>
            <rFont val="Tahoma"/>
            <charset val="1"/>
          </rPr>
          <t xml:space="preserve">
coins aleady packed for bank deposit</t>
        </r>
      </text>
    </comment>
    <comment ref="E17" authorId="0" shapeId="0" xr:uid="{81AAF1DB-3649-4BF0-B4AD-5B0D3C5F37CA}">
      <text>
        <r>
          <rPr>
            <b/>
            <sz val="9"/>
            <color indexed="81"/>
            <rFont val="Tahoma"/>
            <charset val="1"/>
          </rPr>
          <t>Pankhuri Gupta:</t>
        </r>
        <r>
          <rPr>
            <sz val="9"/>
            <color indexed="81"/>
            <rFont val="Tahoma"/>
            <charset val="1"/>
          </rPr>
          <t xml:space="preserve">
This is change fund inventory kept in reserve</t>
        </r>
      </text>
    </comment>
    <comment ref="E19" authorId="0" shapeId="0" xr:uid="{42195529-196C-4139-BEB9-47B2DAC131A3}">
      <text>
        <r>
          <rPr>
            <b/>
            <sz val="9"/>
            <color indexed="81"/>
            <rFont val="Tahoma"/>
            <charset val="1"/>
          </rPr>
          <t>Pankhuri Gupta:</t>
        </r>
        <r>
          <rPr>
            <sz val="9"/>
            <color indexed="81"/>
            <rFont val="Tahoma"/>
            <charset val="1"/>
          </rPr>
          <t xml:space="preserve">
3 bundles at the rate of 400 each</t>
        </r>
      </text>
    </comment>
    <comment ref="A27" authorId="0" shapeId="0" xr:uid="{4A4EB5F3-FD1D-4584-AC09-281E936A8B0F}">
      <text>
        <r>
          <rPr>
            <b/>
            <sz val="9"/>
            <color indexed="81"/>
            <rFont val="Tahoma"/>
            <charset val="1"/>
          </rPr>
          <t>Pankhuri Gupta:</t>
        </r>
        <r>
          <rPr>
            <sz val="9"/>
            <color indexed="81"/>
            <rFont val="Tahoma"/>
            <charset val="1"/>
          </rPr>
          <t xml:space="preserve">
money returned by drivers - money in vault but not counted</t>
        </r>
      </text>
    </comment>
    <comment ref="A36" authorId="0" shapeId="0" xr:uid="{A2F6F9BB-C670-4A71-BA8A-8E970A07C62F}">
      <text>
        <r>
          <rPr>
            <b/>
            <sz val="9"/>
            <color indexed="81"/>
            <rFont val="Tahoma"/>
            <charset val="1"/>
          </rPr>
          <t>Pankhuri Gupta:</t>
        </r>
        <r>
          <rPr>
            <sz val="9"/>
            <color indexed="81"/>
            <rFont val="Tahoma"/>
            <charset val="1"/>
          </rPr>
          <t xml:space="preserve">
damaged currency that needs to be sent separately to bank</t>
        </r>
      </text>
    </comment>
    <comment ref="A43" authorId="0" shapeId="0" xr:uid="{ABCD1EA6-659A-49F6-85D2-0065BE940122}">
      <text>
        <r>
          <rPr>
            <b/>
            <sz val="9"/>
            <color indexed="81"/>
            <rFont val="Tahoma"/>
            <charset val="1"/>
          </rPr>
          <t>Pankhuri Gupta:</t>
        </r>
        <r>
          <rPr>
            <sz val="9"/>
            <color indexed="81"/>
            <rFont val="Tahoma"/>
            <charset val="1"/>
          </rPr>
          <t xml:space="preserve">
Money given to drivers for field services of machines. Basically money not in vault but needs to be part of cashroom</t>
        </r>
      </text>
    </comment>
    <comment ref="A50" authorId="0" shapeId="0" xr:uid="{79AEE37F-7BCA-44BD-A483-0719EC2E4BDF}">
      <text>
        <r>
          <rPr>
            <b/>
            <sz val="9"/>
            <color indexed="81"/>
            <rFont val="Tahoma"/>
            <charset val="1"/>
          </rPr>
          <t>Pankhuri Gupta:</t>
        </r>
        <r>
          <rPr>
            <sz val="9"/>
            <color indexed="81"/>
            <rFont val="Tahoma"/>
            <charset val="1"/>
          </rPr>
          <t xml:space="preserve">
fund shortage yesterday &amp; today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Pankhuri Gupta</author>
  </authors>
  <commentList>
    <comment ref="E2" authorId="0" shapeId="0" xr:uid="{653AFA63-729E-4954-B3A3-39A389A87B4C}">
      <text>
        <r>
          <rPr>
            <b/>
            <sz val="9"/>
            <color indexed="81"/>
            <rFont val="Tahoma"/>
            <charset val="1"/>
          </rPr>
          <t>Pankhuri Gupta:</t>
        </r>
        <r>
          <rPr>
            <sz val="9"/>
            <color indexed="81"/>
            <rFont val="Tahoma"/>
            <charset val="1"/>
          </rPr>
          <t xml:space="preserve">
We will need details for daily approvers as well</t>
        </r>
      </text>
    </comment>
  </commentList>
</comments>
</file>

<file path=xl/sharedStrings.xml><?xml version="1.0" encoding="utf-8"?>
<sst xmlns="http://schemas.openxmlformats.org/spreadsheetml/2006/main" count="250" uniqueCount="208">
  <si>
    <t>Canteen Vending Services</t>
  </si>
  <si>
    <t>Daily Cashroom Count Worksheet</t>
  </si>
  <si>
    <t xml:space="preserve">Location </t>
  </si>
  <si>
    <t>Sheboygan</t>
  </si>
  <si>
    <t>Date:_______________________</t>
  </si>
  <si>
    <t>A. Currency</t>
  </si>
  <si>
    <t>Ones</t>
  </si>
  <si>
    <t>Twos</t>
  </si>
  <si>
    <t>No. 1</t>
  </si>
  <si>
    <t>No. 2</t>
  </si>
  <si>
    <t>Totals</t>
  </si>
  <si>
    <t>Fives</t>
  </si>
  <si>
    <t>Dollars</t>
  </si>
  <si>
    <t xml:space="preserve">Tens </t>
  </si>
  <si>
    <t>Halves</t>
  </si>
  <si>
    <t>Twenties</t>
  </si>
  <si>
    <t>Quarters</t>
  </si>
  <si>
    <t>Fifties</t>
  </si>
  <si>
    <t>Dimes</t>
  </si>
  <si>
    <t>Hundreds</t>
  </si>
  <si>
    <t>Nickels</t>
  </si>
  <si>
    <t>Pennies</t>
  </si>
  <si>
    <t>A. Total</t>
  </si>
  <si>
    <t>Type</t>
  </si>
  <si>
    <t xml:space="preserve">No. </t>
  </si>
  <si>
    <t>Number</t>
  </si>
  <si>
    <t>Amount</t>
  </si>
  <si>
    <t>Total</t>
  </si>
  <si>
    <t>ea. @</t>
  </si>
  <si>
    <t>C. Total</t>
  </si>
  <si>
    <t>D. Total</t>
  </si>
  <si>
    <t xml:space="preserve">F.  Returned but Uncounted Manual Change </t>
  </si>
  <si>
    <t xml:space="preserve">      Or DBC Funds ( Not Included in G.)</t>
  </si>
  <si>
    <t xml:space="preserve">Dollars </t>
  </si>
  <si>
    <t>F. Total</t>
  </si>
  <si>
    <t>Currency</t>
  </si>
  <si>
    <t>Coin</t>
  </si>
  <si>
    <t>G. Total</t>
  </si>
  <si>
    <t>H.  Changer Funds Outstanding</t>
  </si>
  <si>
    <t>Per Form #1841, (or as summarized</t>
  </si>
  <si>
    <t>Cashroom Count Totals:</t>
  </si>
  <si>
    <t>on form #403-1)</t>
  </si>
  <si>
    <t>H. Total</t>
  </si>
  <si>
    <t>I.  Net Unreimbursed Bill Changer</t>
  </si>
  <si>
    <t>Total Cash</t>
  </si>
  <si>
    <t>I. Total</t>
  </si>
  <si>
    <t>Cashier's Fund Imprest Balance</t>
  </si>
  <si>
    <t>B. Rolled Coin</t>
  </si>
  <si>
    <t>B.  Total</t>
  </si>
  <si>
    <t>D  Bagged Coin (Full for Bank)</t>
  </si>
  <si>
    <t>E.  Unissued Changer Funds in Cashroom or Vault</t>
  </si>
  <si>
    <t>E. Total</t>
  </si>
  <si>
    <t>A</t>
  </si>
  <si>
    <t>B</t>
  </si>
  <si>
    <t>C</t>
  </si>
  <si>
    <t>D</t>
  </si>
  <si>
    <t>E</t>
  </si>
  <si>
    <t>F</t>
  </si>
  <si>
    <t>Rolled Coin</t>
  </si>
  <si>
    <t>Coins in Counting Machines</t>
  </si>
  <si>
    <t>Bagged Coin</t>
  </si>
  <si>
    <t>Unissued Changers</t>
  </si>
  <si>
    <t>Uncounted/Returned Changers</t>
  </si>
  <si>
    <t>G</t>
  </si>
  <si>
    <t>Deduct Holdeover(if any)</t>
  </si>
  <si>
    <t>J</t>
  </si>
  <si>
    <t xml:space="preserve">Coin Purchase in transit to/from bank </t>
  </si>
  <si>
    <t>Total Cashier's Fund - TODAY</t>
  </si>
  <si>
    <t>Variance - Short or (Over)</t>
  </si>
  <si>
    <t>I</t>
  </si>
  <si>
    <t>H</t>
  </si>
  <si>
    <t>C. Coins in Counting Machines(Sorter/Counter)</t>
  </si>
  <si>
    <t>Other</t>
  </si>
  <si>
    <t>G. Mutilated Currency, Foreign, and/or Bent Coin</t>
  </si>
  <si>
    <t>Mutilated Currency, Foreign, and/or Bent Coin</t>
  </si>
  <si>
    <t>Fund shortage (overage) as of Yesterday</t>
  </si>
  <si>
    <t>Today's Shortage/(Overage)</t>
  </si>
  <si>
    <t>Net Unreimbursed Bill Changer shortage/(overage)</t>
  </si>
  <si>
    <t>Counted By:___________________________________</t>
  </si>
  <si>
    <t>Reviewed By:___________________________ Date:_______________________</t>
  </si>
  <si>
    <t>_____________________</t>
  </si>
  <si>
    <t>Verified By:________________________________________</t>
  </si>
  <si>
    <t>*</t>
  </si>
  <si>
    <t xml:space="preserve"> </t>
  </si>
  <si>
    <t>Changer Funds Outstanding</t>
  </si>
  <si>
    <t>0.5% of imprest fund is the tolerance currently</t>
  </si>
  <si>
    <t>CC #</t>
  </si>
  <si>
    <t>DGM/RD</t>
  </si>
  <si>
    <t>Controller</t>
  </si>
  <si>
    <t>Regional Controller</t>
  </si>
  <si>
    <t>Cashroom Lead</t>
  </si>
  <si>
    <t xml:space="preserve">APPLETON
</t>
  </si>
  <si>
    <t>John Ranallo</t>
  </si>
  <si>
    <t>Terri Serrano</t>
  </si>
  <si>
    <t>Kyle Decker</t>
  </si>
  <si>
    <t>Laura Diehl</t>
  </si>
  <si>
    <t>WAUSAU</t>
  </si>
  <si>
    <t>Mary Szeklinski</t>
  </si>
  <si>
    <t>CENTRAL IL</t>
  </si>
  <si>
    <t>Tammy Hall</t>
  </si>
  <si>
    <t>Connie Ping</t>
  </si>
  <si>
    <t>Patty Ziehmke</t>
  </si>
  <si>
    <t>Allie Helton</t>
  </si>
  <si>
    <t>Working Role Name</t>
  </si>
  <si>
    <t>Key Responsibility</t>
  </si>
  <si>
    <t>Cashroom Operator</t>
  </si>
  <si>
    <t>Daily cash counting &amp; submission</t>
  </si>
  <si>
    <t>Manager (Daily Reviewer)</t>
  </si>
  <si>
    <t>Daily validation &amp; approval</t>
  </si>
  <si>
    <t>Controller (Weekly Verifier)</t>
  </si>
  <si>
    <t>DGM (Monthly Verifier)</t>
  </si>
  <si>
    <t>Regional Controller / Executive</t>
  </si>
  <si>
    <t>Compliance monitoring &amp; reporting</t>
  </si>
  <si>
    <t>System Admin</t>
  </si>
  <si>
    <t>Configuration &amp; user management</t>
  </si>
  <si>
    <t>S No</t>
  </si>
  <si>
    <t>Monthly surprise audit &amp; approval</t>
  </si>
  <si>
    <t>Weekly surprise audit &amp; approval</t>
  </si>
  <si>
    <t>Confirmed Terminology
(Jamie Input Required)</t>
  </si>
  <si>
    <t>BLOOMINGDALE</t>
  </si>
  <si>
    <t>Lori Pierson</t>
  </si>
  <si>
    <t>Omar Mansour</t>
  </si>
  <si>
    <t>Marci Irwin</t>
  </si>
  <si>
    <t>Sanjuana Gonzalez</t>
  </si>
  <si>
    <t>ROMEOVILLE</t>
  </si>
  <si>
    <t>Joseph Conwell &amp; Areli Franco</t>
  </si>
  <si>
    <t>DES MOINES</t>
  </si>
  <si>
    <t>Gregg Berndt</t>
  </si>
  <si>
    <t>Andi Schoonover</t>
  </si>
  <si>
    <t>Ryan McArthur</t>
  </si>
  <si>
    <t>Jennifer Layton</t>
  </si>
  <si>
    <t>CEDAR RAPIDS</t>
  </si>
  <si>
    <t>Corrine Upah</t>
  </si>
  <si>
    <t>DYNAMIC</t>
  </si>
  <si>
    <t>Nick Block</t>
  </si>
  <si>
    <t>Jody Miller</t>
  </si>
  <si>
    <t>Laura Davis</t>
  </si>
  <si>
    <t>Alexandra(Alex) Reynolds</t>
  </si>
  <si>
    <t>GALESBURG</t>
  </si>
  <si>
    <t>Dale Davis</t>
  </si>
  <si>
    <t>Amanda Randall</t>
  </si>
  <si>
    <t>Melissa Holder</t>
  </si>
  <si>
    <t xml:space="preserve">GRAND RAPIDS </t>
  </si>
  <si>
    <t>Jeff Wisniewski</t>
  </si>
  <si>
    <t>Elaine Leva</t>
  </si>
  <si>
    <t>Grace Quinonez</t>
  </si>
  <si>
    <t>KANSAS CITY</t>
  </si>
  <si>
    <t>Jewel Mitchell</t>
  </si>
  <si>
    <t>Jessica Sobon</t>
  </si>
  <si>
    <t>Shanice Crockett</t>
  </si>
  <si>
    <t>LA CROSSE</t>
  </si>
  <si>
    <t>Bobby Gandee</t>
  </si>
  <si>
    <t>Mike Kirschner</t>
  </si>
  <si>
    <t>Angie Scholler</t>
  </si>
  <si>
    <t>LENEXA</t>
  </si>
  <si>
    <t>John Branstetter</t>
  </si>
  <si>
    <t>Mindi Knightly</t>
  </si>
  <si>
    <t>Ann Bellante</t>
  </si>
  <si>
    <t xml:space="preserve">MADISON
</t>
  </si>
  <si>
    <t>Bill Zonzo</t>
  </si>
  <si>
    <t>Amy Ping</t>
  </si>
  <si>
    <t>Ashley Dawson</t>
  </si>
  <si>
    <t>BELVIDERE</t>
  </si>
  <si>
    <t>Shannon Burton</t>
  </si>
  <si>
    <t>MILWAUKEE</t>
  </si>
  <si>
    <t>Josiah Sullivan</t>
  </si>
  <si>
    <t>Hillary Wessels</t>
  </si>
  <si>
    <t>Rachel Jensen</t>
  </si>
  <si>
    <t>OMAHA</t>
  </si>
  <si>
    <t>Joe Giesick</t>
  </si>
  <si>
    <t>Akilah Bililty</t>
  </si>
  <si>
    <t>Justin Weaver</t>
  </si>
  <si>
    <t xml:space="preserve">OMAHA CK </t>
  </si>
  <si>
    <t>Flint Harper</t>
  </si>
  <si>
    <t>Nicky Parrott</t>
  </si>
  <si>
    <t>Diane(Nini) Keatts</t>
  </si>
  <si>
    <t>ROCHESTER</t>
  </si>
  <si>
    <t>Bob Jorgenson</t>
  </si>
  <si>
    <t>Gillian Bielke</t>
  </si>
  <si>
    <t>Theresa Hehl</t>
  </si>
  <si>
    <t>SHEBOYGAN</t>
  </si>
  <si>
    <t>Jen Haznedaroglu</t>
  </si>
  <si>
    <t>Heather Bischoff</t>
  </si>
  <si>
    <t>Jamie Roberts</t>
  </si>
  <si>
    <t>Dani Benitez</t>
  </si>
  <si>
    <t>ST. LOUIS</t>
  </si>
  <si>
    <t>Amy Patton</t>
  </si>
  <si>
    <t>Patricia(Pat) Tate</t>
  </si>
  <si>
    <t>ST. PAUL</t>
  </si>
  <si>
    <t>Heinrich Von Mende</t>
  </si>
  <si>
    <t>Kayla Ostlund</t>
  </si>
  <si>
    <t>Aaron Anderson</t>
  </si>
  <si>
    <t xml:space="preserve">District </t>
  </si>
  <si>
    <t>Manager/Daily Reviewer</t>
  </si>
  <si>
    <t>Division Contacts</t>
  </si>
  <si>
    <t>VP Finance</t>
  </si>
  <si>
    <t>Shivani Gupta</t>
  </si>
  <si>
    <t>Controller, Asst Regl</t>
  </si>
  <si>
    <t>Susan Nelson</t>
  </si>
  <si>
    <t>Dir, Regnl Finance</t>
  </si>
  <si>
    <t>Jamie Roberts (Spoor)</t>
  </si>
  <si>
    <t>Role 1</t>
  </si>
  <si>
    <t>Role 2</t>
  </si>
  <si>
    <t>Role 3</t>
  </si>
  <si>
    <t>Role 4</t>
  </si>
  <si>
    <t>Role 5</t>
  </si>
  <si>
    <t>Role 6</t>
  </si>
  <si>
    <t>Leadership committe roles for cashroom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</si>
</sst>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8">
    <font>
      <sz val="11"/>
      <color theme="1"/>
      <name val="Aptos Narrow"/>
      <family val="2"/>
      <scheme val="minor"/>
    </font>
    <font>
      <sz val="12"/>
      <name val="Arial MT"/>
    </font>
    <font>
      <b/>
      <sz val="12"/>
      <color indexed="8"/>
      <name val="Arial MT"/>
    </font>
    <font>
      <b/>
      <sz val="16"/>
      <color indexed="10"/>
      <name val="Arial MT"/>
    </font>
    <font>
      <b/>
      <sz val="12"/>
      <name val="Arial MT"/>
    </font>
    <font>
      <b/>
      <sz val="12"/>
      <color indexed="12"/>
      <name val="Arial MT"/>
    </font>
    <font>
      <u/>
      <sz val="12"/>
      <color indexed="8"/>
      <name val="Arial MT"/>
    </font>
    <font>
      <b/>
      <sz val="11"/>
      <color theme="1"/>
      <name val="Aptos Narrow"/>
      <family val="2"/>
      <scheme val="minor"/>
    </font>
    <font>
      <sz val="10"/>
      <name val="Arial MT"/>
    </font>
    <font>
      <b/>
      <sz val="10"/>
      <name val="Arial MT"/>
    </font>
    <font>
      <b/>
      <sz val="10"/>
      <color theme="1"/>
      <name val="Aptos Narrow"/>
      <family val="2"/>
      <scheme val="minor"/>
    </font>
    <font>
      <b/>
      <u/>
      <sz val="12"/>
      <name val="Arial MT"/>
    </font>
    <font>
      <u/>
      <sz val="12"/>
      <name val="Arial MT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 MT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1"/>
      <color rgb="FF006100"/>
      <name val="Calibri"/>
      <family val="2"/>
    </font>
    <font>
      <i/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89999084444715716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14" fillId="5" borderId="0" applyNumberFormat="0" applyBorder="0" applyAlignment="0" applyProtection="0"/>
    <xf numFmtId="44" fontId="13" fillId="0" borderId="0" applyFont="0" applyFill="0" applyBorder="0" applyAlignment="0" applyProtection="0"/>
  </cellStyleXfs>
  <cellXfs count="124">
    <xf numFmtId="0" fontId="0" fillId="0" borderId="0" xfId="0"/>
    <xf numFmtId="0" fontId="2" fillId="2" borderId="0" xfId="1" applyFont="1"/>
    <xf numFmtId="0" fontId="1" fillId="2" borderId="0" xfId="1"/>
    <xf numFmtId="0" fontId="3" fillId="2" borderId="0" xfId="1" applyFont="1" applyAlignment="1">
      <alignment horizontal="right"/>
    </xf>
    <xf numFmtId="0" fontId="4" fillId="2" borderId="1" xfId="1" applyFont="1" applyBorder="1"/>
    <xf numFmtId="0" fontId="5" fillId="2" borderId="1" xfId="1" applyFont="1" applyBorder="1"/>
    <xf numFmtId="0" fontId="1" fillId="2" borderId="1" xfId="1" applyBorder="1"/>
    <xf numFmtId="0" fontId="4" fillId="2" borderId="0" xfId="1" applyFont="1"/>
    <xf numFmtId="14" fontId="4" fillId="4" borderId="0" xfId="1" applyNumberFormat="1" applyFont="1" applyFill="1"/>
    <xf numFmtId="0" fontId="5" fillId="2" borderId="0" xfId="1" applyFont="1"/>
    <xf numFmtId="0" fontId="1" fillId="2" borderId="3" xfId="1" applyBorder="1"/>
    <xf numFmtId="0" fontId="1" fillId="2" borderId="4" xfId="1" applyBorder="1"/>
    <xf numFmtId="39" fontId="1" fillId="4" borderId="5" xfId="1" applyNumberFormat="1" applyFill="1" applyBorder="1"/>
    <xf numFmtId="0" fontId="1" fillId="4" borderId="5" xfId="1" applyFill="1" applyBorder="1"/>
    <xf numFmtId="0" fontId="1" fillId="3" borderId="6" xfId="1" applyFill="1" applyBorder="1"/>
    <xf numFmtId="164" fontId="1" fillId="3" borderId="6" xfId="1" applyNumberFormat="1" applyFill="1" applyBorder="1"/>
    <xf numFmtId="39" fontId="6" fillId="3" borderId="6" xfId="1" applyNumberFormat="1" applyFont="1" applyFill="1" applyBorder="1"/>
    <xf numFmtId="0" fontId="1" fillId="4" borderId="7" xfId="1" applyFill="1" applyBorder="1"/>
    <xf numFmtId="39" fontId="1" fillId="3" borderId="6" xfId="1" applyNumberFormat="1" applyFill="1" applyBorder="1"/>
    <xf numFmtId="0" fontId="1" fillId="4" borderId="8" xfId="1" applyFill="1" applyBorder="1"/>
    <xf numFmtId="39" fontId="1" fillId="3" borderId="5" xfId="1" applyNumberFormat="1" applyFill="1" applyBorder="1"/>
    <xf numFmtId="0" fontId="1" fillId="2" borderId="10" xfId="1" applyBorder="1"/>
    <xf numFmtId="0" fontId="1" fillId="2" borderId="11" xfId="1" applyBorder="1"/>
    <xf numFmtId="0" fontId="1" fillId="2" borderId="12" xfId="1" applyBorder="1"/>
    <xf numFmtId="0" fontId="1" fillId="2" borderId="13" xfId="1" applyBorder="1"/>
    <xf numFmtId="0" fontId="1" fillId="2" borderId="0" xfId="1" applyBorder="1"/>
    <xf numFmtId="0" fontId="1" fillId="2" borderId="14" xfId="1" applyBorder="1"/>
    <xf numFmtId="164" fontId="1" fillId="2" borderId="0" xfId="1" applyNumberFormat="1" applyBorder="1"/>
    <xf numFmtId="0" fontId="1" fillId="4" borderId="14" xfId="1" applyFill="1" applyBorder="1"/>
    <xf numFmtId="0" fontId="1" fillId="2" borderId="15" xfId="1" applyBorder="1"/>
    <xf numFmtId="0" fontId="1" fillId="4" borderId="1" xfId="1" applyFill="1" applyBorder="1"/>
    <xf numFmtId="0" fontId="7" fillId="0" borderId="0" xfId="0" applyFont="1"/>
    <xf numFmtId="0" fontId="1" fillId="2" borderId="16" xfId="1" applyBorder="1"/>
    <xf numFmtId="39" fontId="1" fillId="4" borderId="17" xfId="1" applyNumberFormat="1" applyFill="1" applyBorder="1"/>
    <xf numFmtId="39" fontId="1" fillId="4" borderId="18" xfId="1" applyNumberFormat="1" applyFill="1" applyBorder="1"/>
    <xf numFmtId="0" fontId="4" fillId="2" borderId="2" xfId="1" applyFont="1" applyBorder="1"/>
    <xf numFmtId="0" fontId="4" fillId="2" borderId="10" xfId="1" applyFont="1" applyBorder="1"/>
    <xf numFmtId="39" fontId="1" fillId="4" borderId="19" xfId="1" applyNumberFormat="1" applyFill="1" applyBorder="1"/>
    <xf numFmtId="39" fontId="1" fillId="3" borderId="20" xfId="1" applyNumberFormat="1" applyFill="1" applyBorder="1"/>
    <xf numFmtId="39" fontId="1" fillId="4" borderId="21" xfId="1" applyNumberFormat="1" applyFill="1" applyBorder="1"/>
    <xf numFmtId="39" fontId="1" fillId="2" borderId="22" xfId="1" applyNumberFormat="1" applyBorder="1"/>
    <xf numFmtId="39" fontId="6" fillId="3" borderId="20" xfId="1" applyNumberFormat="1" applyFont="1" applyFill="1" applyBorder="1"/>
    <xf numFmtId="39" fontId="1" fillId="2" borderId="20" xfId="1" applyNumberFormat="1" applyBorder="1"/>
    <xf numFmtId="0" fontId="0" fillId="0" borderId="15" xfId="0" applyBorder="1"/>
    <xf numFmtId="0" fontId="1" fillId="4" borderId="23" xfId="1" applyFill="1" applyBorder="1"/>
    <xf numFmtId="164" fontId="1" fillId="2" borderId="1" xfId="1" applyNumberFormat="1" applyBorder="1"/>
    <xf numFmtId="0" fontId="1" fillId="4" borderId="9" xfId="1" applyFill="1" applyBorder="1"/>
    <xf numFmtId="0" fontId="1" fillId="2" borderId="24" xfId="1" applyBorder="1"/>
    <xf numFmtId="0" fontId="1" fillId="2" borderId="25" xfId="1" applyBorder="1"/>
    <xf numFmtId="0" fontId="1" fillId="4" borderId="26" xfId="1" applyFill="1" applyBorder="1"/>
    <xf numFmtId="0" fontId="1" fillId="4" borderId="0" xfId="1" applyFill="1" applyBorder="1"/>
    <xf numFmtId="39" fontId="1" fillId="4" borderId="27" xfId="1" applyNumberFormat="1" applyFill="1" applyBorder="1"/>
    <xf numFmtId="0" fontId="4" fillId="2" borderId="3" xfId="1" applyFont="1" applyBorder="1"/>
    <xf numFmtId="0" fontId="4" fillId="2" borderId="4" xfId="1" applyFont="1" applyBorder="1"/>
    <xf numFmtId="0" fontId="1" fillId="4" borderId="28" xfId="1" applyFill="1" applyBorder="1"/>
    <xf numFmtId="39" fontId="1" fillId="3" borderId="16" xfId="1" applyNumberFormat="1" applyFill="1" applyBorder="1"/>
    <xf numFmtId="0" fontId="1" fillId="4" borderId="24" xfId="1" applyFill="1" applyBorder="1"/>
    <xf numFmtId="0" fontId="1" fillId="4" borderId="25" xfId="1" applyFill="1" applyBorder="1"/>
    <xf numFmtId="0" fontId="1" fillId="2" borderId="29" xfId="1" applyBorder="1"/>
    <xf numFmtId="0" fontId="1" fillId="4" borderId="10" xfId="1" applyFill="1" applyBorder="1"/>
    <xf numFmtId="0" fontId="1" fillId="4" borderId="11" xfId="1" applyFill="1" applyBorder="1"/>
    <xf numFmtId="0" fontId="1" fillId="4" borderId="13" xfId="1" applyFill="1" applyBorder="1"/>
    <xf numFmtId="39" fontId="1" fillId="2" borderId="0" xfId="1" applyNumberFormat="1" applyBorder="1"/>
    <xf numFmtId="0" fontId="1" fillId="2" borderId="22" xfId="1" applyBorder="1"/>
    <xf numFmtId="0" fontId="4" fillId="4" borderId="24" xfId="1" applyFont="1" applyFill="1" applyBorder="1"/>
    <xf numFmtId="0" fontId="4" fillId="2" borderId="24" xfId="1" applyFont="1" applyBorder="1"/>
    <xf numFmtId="0" fontId="4" fillId="2" borderId="25" xfId="1" applyFont="1" applyBorder="1"/>
    <xf numFmtId="39" fontId="1" fillId="4" borderId="0" xfId="1" applyNumberFormat="1" applyFill="1" applyBorder="1"/>
    <xf numFmtId="0" fontId="4" fillId="2" borderId="29" xfId="1" applyFont="1" applyBorder="1"/>
    <xf numFmtId="0" fontId="0" fillId="0" borderId="25" xfId="0" applyBorder="1"/>
    <xf numFmtId="0" fontId="8" fillId="2" borderId="0" xfId="1" applyFont="1"/>
    <xf numFmtId="0" fontId="9" fillId="2" borderId="0" xfId="1" applyFont="1" applyAlignment="1">
      <alignment horizontal="right"/>
    </xf>
    <xf numFmtId="0" fontId="10" fillId="0" borderId="0" xfId="0" applyFont="1" applyAlignment="1">
      <alignment horizontal="right"/>
    </xf>
    <xf numFmtId="0" fontId="11" fillId="2" borderId="0" xfId="1" applyFont="1"/>
    <xf numFmtId="0" fontId="12" fillId="2" borderId="0" xfId="1" applyFont="1"/>
    <xf numFmtId="39" fontId="1" fillId="3" borderId="1" xfId="1" applyNumberFormat="1" applyFill="1" applyBorder="1"/>
    <xf numFmtId="0" fontId="0" fillId="0" borderId="0" xfId="0" applyAlignment="1">
      <alignment wrapText="1"/>
    </xf>
    <xf numFmtId="0" fontId="1" fillId="2" borderId="0" xfId="1" applyAlignment="1">
      <alignment wrapText="1"/>
    </xf>
    <xf numFmtId="0" fontId="0" fillId="0" borderId="0" xfId="0" applyAlignment="1">
      <alignment horizontal="left" vertical="top" wrapText="1"/>
    </xf>
    <xf numFmtId="0" fontId="1" fillId="2" borderId="0" xfId="1" applyAlignment="1">
      <alignment horizontal="right" vertical="top"/>
    </xf>
    <xf numFmtId="0" fontId="0" fillId="0" borderId="0" xfId="0" applyAlignment="1">
      <alignment horizontal="right" vertical="top"/>
    </xf>
    <xf numFmtId="39" fontId="1" fillId="3" borderId="5" xfId="1" applyNumberFormat="1" applyFill="1" applyBorder="1" applyAlignment="1">
      <alignment horizontal="right" vertical="top"/>
    </xf>
    <xf numFmtId="0" fontId="9" fillId="2" borderId="0" xfId="1" applyFont="1" applyAlignment="1">
      <alignment horizontal="right" vertical="top"/>
    </xf>
    <xf numFmtId="0" fontId="23" fillId="0" borderId="6" xfId="0" applyFont="1" applyBorder="1" applyAlignment="1">
      <alignment vertical="top"/>
    </xf>
    <xf numFmtId="14" fontId="23" fillId="0" borderId="6" xfId="0" applyNumberFormat="1" applyFont="1" applyBorder="1" applyAlignment="1"/>
    <xf numFmtId="0" fontId="24" fillId="0" borderId="6" xfId="0" applyFont="1" applyBorder="1" applyAlignment="1"/>
    <xf numFmtId="44" fontId="24" fillId="0" borderId="6" xfId="3" applyFont="1" applyFill="1" applyBorder="1" applyAlignment="1"/>
    <xf numFmtId="0" fontId="23" fillId="0" borderId="6" xfId="0" applyFont="1" applyBorder="1" applyAlignment="1"/>
    <xf numFmtId="0" fontId="25" fillId="7" borderId="6" xfId="0" applyFont="1" applyFill="1" applyBorder="1" applyAlignment="1"/>
    <xf numFmtId="0" fontId="22" fillId="6" borderId="6" xfId="0" applyFont="1" applyFill="1" applyBorder="1" applyAlignment="1">
      <alignment horizontal="center" vertical="center"/>
    </xf>
    <xf numFmtId="0" fontId="22" fillId="6" borderId="6" xfId="0" applyFont="1" applyFill="1" applyBorder="1" applyAlignment="1"/>
    <xf numFmtId="0" fontId="22" fillId="6" borderId="6" xfId="0" applyFont="1" applyFill="1" applyBorder="1" applyAlignment="1">
      <alignment horizontal="center"/>
    </xf>
    <xf numFmtId="0" fontId="23" fillId="0" borderId="6" xfId="0" applyFont="1" applyBorder="1" applyAlignment="1">
      <alignment horizontal="center" vertical="center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39" fontId="14" fillId="5" borderId="5" xfId="2" applyNumberFormat="1" applyBorder="1" applyAlignment="1">
      <alignment horizontal="right" vertical="top"/>
    </xf>
    <xf numFmtId="39" fontId="14" fillId="5" borderId="5" xfId="2" applyNumberFormat="1" applyBorder="1"/>
    <xf numFmtId="0" fontId="26" fillId="5" borderId="0" xfId="2" applyFont="1" applyAlignment="1">
      <alignment horizontal="center" vertical="center" wrapText="1"/>
    </xf>
    <xf numFmtId="0" fontId="1" fillId="0" borderId="0" xfId="1" applyFill="1"/>
    <xf numFmtId="0" fontId="0" fillId="0" borderId="0" xfId="0" applyBorder="1"/>
    <xf numFmtId="0" fontId="17" fillId="2" borderId="0" xfId="1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3" fillId="0" borderId="0" xfId="0" applyFont="1" applyBorder="1" applyAlignment="1">
      <alignment wrapText="1"/>
    </xf>
    <xf numFmtId="0" fontId="4" fillId="2" borderId="0" xfId="1" applyFont="1" applyBorder="1"/>
    <xf numFmtId="0" fontId="4" fillId="4" borderId="0" xfId="1" applyFont="1" applyFill="1" applyBorder="1"/>
    <xf numFmtId="0" fontId="1" fillId="2" borderId="0" xfId="1" applyAlignment="1">
      <alignment vertical="top"/>
    </xf>
    <xf numFmtId="0" fontId="1" fillId="2" borderId="0" xfId="1" applyAlignment="1">
      <alignment horizontal="center" vertical="top"/>
    </xf>
    <xf numFmtId="0" fontId="20" fillId="8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23" fillId="0" borderId="0" xfId="0" applyFont="1"/>
    <xf numFmtId="0" fontId="27" fillId="0" borderId="0" xfId="0" applyFont="1" applyAlignment="1">
      <alignment horizontal="left" vertical="top" wrapText="1"/>
    </xf>
    <xf numFmtId="0" fontId="23" fillId="4" borderId="6" xfId="0" applyFont="1" applyFill="1" applyBorder="1" applyAlignment="1">
      <alignment horizontal="left"/>
    </xf>
    <xf numFmtId="0" fontId="23" fillId="4" borderId="6" xfId="0" applyFont="1" applyFill="1" applyBorder="1"/>
    <xf numFmtId="0" fontId="24" fillId="0" borderId="6" xfId="0" applyFont="1" applyFill="1" applyBorder="1" applyAlignment="1"/>
    <xf numFmtId="14" fontId="23" fillId="0" borderId="6" xfId="0" applyNumberFormat="1" applyFont="1" applyFill="1" applyBorder="1" applyAlignment="1"/>
    <xf numFmtId="0" fontId="23" fillId="0" borderId="6" xfId="0" applyFont="1" applyBorder="1"/>
    <xf numFmtId="14" fontId="24" fillId="0" borderId="6" xfId="0" applyNumberFormat="1" applyFont="1" applyFill="1" applyBorder="1" applyAlignment="1"/>
    <xf numFmtId="0" fontId="25" fillId="0" borderId="6" xfId="0" applyFont="1" applyBorder="1" applyAlignment="1"/>
    <xf numFmtId="0" fontId="23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3" fillId="0" borderId="24" xfId="0" applyFont="1" applyBorder="1" applyAlignment="1">
      <alignment horizontal="center" wrapText="1"/>
    </xf>
    <xf numFmtId="0" fontId="23" fillId="0" borderId="29" xfId="0" applyFont="1" applyBorder="1" applyAlignment="1">
      <alignment horizontal="center" wrapText="1"/>
    </xf>
    <xf numFmtId="0" fontId="27" fillId="0" borderId="0" xfId="0" applyFont="1" applyAlignment="1">
      <alignment horizontal="center" vertical="center" wrapText="1"/>
    </xf>
  </cellXfs>
  <cellStyles count="4">
    <cellStyle name="Currency" xfId="3" builtinId="4"/>
    <cellStyle name="Good" xfId="2" builtinId="26"/>
    <cellStyle name="Normal" xfId="0" builtinId="0"/>
    <cellStyle name="Normal_B.1.4 - V-5530-FY05 - 11-8-2004" xfId="1" xr:uid="{645741E3-81CD-416F-977F-678F6CED1FA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6D10-A7FA-43EB-BACB-846D7DAD6F5B}">
  <sheetPr>
    <pageSetUpPr fitToPage="1"/>
  </sheetPr>
  <dimension ref="A1:P67"/>
  <sheetViews>
    <sheetView zoomScale="70" zoomScaleNormal="70" workbookViewId="0">
      <selection activeCell="G32" sqref="G32"/>
    </sheetView>
  </sheetViews>
  <sheetFormatPr defaultRowHeight="13.8"/>
  <cols>
    <col min="1" max="1" width="14.3984375" customWidth="1"/>
    <col min="2" max="2" width="12.69921875" bestFit="1" customWidth="1"/>
    <col min="4" max="4" width="10.296875" customWidth="1"/>
    <col min="5" max="5" width="10.8984375" bestFit="1" customWidth="1"/>
    <col min="7" max="7" width="12.09765625" customWidth="1"/>
    <col min="8" max="8" width="48" bestFit="1" customWidth="1"/>
    <col min="9" max="9" width="16.09765625" customWidth="1"/>
    <col min="10" max="10" width="8.796875" customWidth="1"/>
    <col min="11" max="11" width="11.59765625" customWidth="1"/>
    <col min="12" max="12" width="22.3984375" customWidth="1"/>
    <col min="13" max="13" width="69.296875" customWidth="1"/>
    <col min="14" max="14" width="48.19921875" customWidth="1"/>
    <col min="15" max="15" width="33.19921875" style="76" customWidth="1"/>
    <col min="16" max="16" width="35.19921875" style="76" customWidth="1"/>
    <col min="17" max="17" width="79.69921875" customWidth="1"/>
  </cols>
  <sheetData>
    <row r="1" spans="1:13" ht="15.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98"/>
    </row>
    <row r="2" spans="1:13" ht="21">
      <c r="A2" s="1" t="s">
        <v>1</v>
      </c>
      <c r="B2" s="2"/>
      <c r="C2" s="2"/>
      <c r="D2" s="2"/>
      <c r="E2" s="2"/>
      <c r="F2" s="3" t="s">
        <v>2</v>
      </c>
      <c r="G2" s="4" t="s">
        <v>3</v>
      </c>
      <c r="H2" s="5"/>
      <c r="I2" s="6"/>
      <c r="J2" s="2"/>
      <c r="K2" s="2"/>
      <c r="L2" s="2"/>
      <c r="M2" s="2"/>
    </row>
    <row r="3" spans="1:13" ht="21">
      <c r="A3" s="7" t="s">
        <v>4</v>
      </c>
      <c r="B3" s="8">
        <v>46042</v>
      </c>
      <c r="C3" s="7"/>
      <c r="D3" s="2"/>
      <c r="E3" s="2"/>
      <c r="F3" s="3"/>
      <c r="G3" s="2"/>
      <c r="H3" s="9"/>
      <c r="I3" s="2"/>
      <c r="J3" s="2"/>
      <c r="K3" s="2"/>
      <c r="L3" s="2"/>
      <c r="M3" s="2"/>
    </row>
    <row r="4" spans="1:13" ht="21">
      <c r="A4" s="1" t="s">
        <v>78</v>
      </c>
      <c r="B4" s="74" t="s">
        <v>80</v>
      </c>
      <c r="C4" s="74"/>
      <c r="D4" s="74"/>
      <c r="E4" s="2"/>
      <c r="F4" s="3"/>
      <c r="G4" s="7" t="s">
        <v>81</v>
      </c>
      <c r="H4" s="9"/>
      <c r="I4" s="7"/>
      <c r="J4" s="7"/>
      <c r="K4" s="7"/>
      <c r="L4" s="7"/>
      <c r="M4" s="2"/>
    </row>
    <row r="5" spans="1:13" ht="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6">
      <c r="A6" s="35" t="s">
        <v>5</v>
      </c>
      <c r="B6" s="32"/>
      <c r="C6" s="2"/>
      <c r="D6" s="36" t="s">
        <v>47</v>
      </c>
      <c r="E6" s="23"/>
      <c r="G6" s="36" t="s">
        <v>71</v>
      </c>
      <c r="H6" s="22"/>
      <c r="I6" s="22"/>
      <c r="J6" s="22"/>
      <c r="K6" s="22"/>
      <c r="L6" s="23"/>
    </row>
    <row r="7" spans="1:13" ht="15">
      <c r="A7" s="21" t="s">
        <v>6</v>
      </c>
      <c r="B7" s="37">
        <v>259</v>
      </c>
      <c r="C7" s="2"/>
      <c r="D7" s="21" t="s">
        <v>33</v>
      </c>
      <c r="E7" s="39">
        <v>1425</v>
      </c>
      <c r="G7" s="21"/>
      <c r="H7" s="22" t="s">
        <v>8</v>
      </c>
      <c r="I7" s="22" t="s">
        <v>9</v>
      </c>
      <c r="J7" s="22"/>
      <c r="K7" s="22"/>
      <c r="L7" s="23" t="s">
        <v>10</v>
      </c>
    </row>
    <row r="8" spans="1:13" ht="15">
      <c r="A8" s="24" t="s">
        <v>7</v>
      </c>
      <c r="B8" s="33"/>
      <c r="C8" s="2"/>
      <c r="D8" s="24" t="s">
        <v>14</v>
      </c>
      <c r="E8" s="34">
        <v>0</v>
      </c>
      <c r="G8" s="24" t="s">
        <v>12</v>
      </c>
      <c r="H8" s="13">
        <v>5</v>
      </c>
      <c r="I8" s="13">
        <v>235</v>
      </c>
      <c r="J8" s="27">
        <v>1</v>
      </c>
      <c r="K8" s="14">
        <f>+H8+I8</f>
        <v>240</v>
      </c>
      <c r="L8" s="15">
        <f t="shared" ref="L8:L14" si="0">+K8*J8</f>
        <v>240</v>
      </c>
    </row>
    <row r="9" spans="1:13" ht="15">
      <c r="A9" s="24" t="s">
        <v>11</v>
      </c>
      <c r="B9" s="33">
        <v>50</v>
      </c>
      <c r="C9" s="2"/>
      <c r="D9" s="24" t="s">
        <v>16</v>
      </c>
      <c r="E9" s="34">
        <v>590</v>
      </c>
      <c r="G9" s="24" t="s">
        <v>14</v>
      </c>
      <c r="H9" s="13">
        <v>6</v>
      </c>
      <c r="I9" s="13">
        <v>14</v>
      </c>
      <c r="J9" s="27">
        <v>0.5</v>
      </c>
      <c r="K9" s="14">
        <f t="shared" ref="K9:K14" si="1">+H9+I9</f>
        <v>20</v>
      </c>
      <c r="L9" s="15">
        <f t="shared" si="0"/>
        <v>10</v>
      </c>
    </row>
    <row r="10" spans="1:13" ht="15">
      <c r="A10" s="24" t="s">
        <v>13</v>
      </c>
      <c r="B10" s="33">
        <v>120</v>
      </c>
      <c r="C10" s="2"/>
      <c r="D10" s="24" t="s">
        <v>18</v>
      </c>
      <c r="E10" s="34">
        <v>660</v>
      </c>
      <c r="G10" s="24" t="s">
        <v>16</v>
      </c>
      <c r="H10" s="13"/>
      <c r="I10" s="13">
        <v>520</v>
      </c>
      <c r="J10" s="27">
        <v>0.25</v>
      </c>
      <c r="K10" s="14">
        <f t="shared" si="1"/>
        <v>520</v>
      </c>
      <c r="L10" s="15">
        <f t="shared" si="0"/>
        <v>130</v>
      </c>
    </row>
    <row r="11" spans="1:13" ht="15">
      <c r="A11" s="24" t="s">
        <v>15</v>
      </c>
      <c r="B11" s="33">
        <v>0</v>
      </c>
      <c r="C11" s="2"/>
      <c r="D11" s="24" t="s">
        <v>20</v>
      </c>
      <c r="E11" s="34">
        <v>136</v>
      </c>
      <c r="G11" s="24" t="s">
        <v>18</v>
      </c>
      <c r="H11" s="13"/>
      <c r="I11" s="13">
        <v>9264</v>
      </c>
      <c r="J11" s="27">
        <v>0.1</v>
      </c>
      <c r="K11" s="14">
        <f t="shared" si="1"/>
        <v>9264</v>
      </c>
      <c r="L11" s="15">
        <f t="shared" si="0"/>
        <v>926.40000000000009</v>
      </c>
    </row>
    <row r="12" spans="1:13" ht="15">
      <c r="A12" s="24" t="s">
        <v>17</v>
      </c>
      <c r="B12" s="33"/>
      <c r="C12" s="2"/>
      <c r="D12" s="24" t="s">
        <v>21</v>
      </c>
      <c r="E12" s="34">
        <v>27.47</v>
      </c>
      <c r="G12" s="24" t="s">
        <v>20</v>
      </c>
      <c r="H12" s="13"/>
      <c r="I12" s="13"/>
      <c r="J12" s="27"/>
      <c r="K12" s="14">
        <f t="shared" si="1"/>
        <v>0</v>
      </c>
      <c r="L12" s="15">
        <f t="shared" si="0"/>
        <v>0</v>
      </c>
    </row>
    <row r="13" spans="1:13" ht="15">
      <c r="A13" s="24" t="s">
        <v>19</v>
      </c>
      <c r="B13" s="33"/>
      <c r="C13" s="2"/>
      <c r="D13" s="29"/>
      <c r="E13" s="40"/>
      <c r="G13" s="24" t="s">
        <v>21</v>
      </c>
      <c r="H13" s="13"/>
      <c r="I13" s="13">
        <v>3835</v>
      </c>
      <c r="J13" s="27">
        <v>0.05</v>
      </c>
      <c r="K13" s="14">
        <f t="shared" si="1"/>
        <v>3835</v>
      </c>
      <c r="L13" s="15">
        <f t="shared" si="0"/>
        <v>191.75</v>
      </c>
    </row>
    <row r="14" spans="1:13" ht="15">
      <c r="A14" s="29" t="s">
        <v>72</v>
      </c>
      <c r="B14" s="42"/>
      <c r="C14" s="2"/>
      <c r="D14" s="29" t="s">
        <v>48</v>
      </c>
      <c r="E14" s="38">
        <f>SUM(E7:E12)</f>
        <v>2838.47</v>
      </c>
      <c r="G14" s="43"/>
      <c r="H14" s="44"/>
      <c r="I14" s="44">
        <v>1989</v>
      </c>
      <c r="J14" s="45">
        <v>0.01</v>
      </c>
      <c r="K14" s="14">
        <f t="shared" si="1"/>
        <v>1989</v>
      </c>
      <c r="L14" s="15">
        <f t="shared" si="0"/>
        <v>19.89</v>
      </c>
    </row>
    <row r="15" spans="1:13" ht="15">
      <c r="A15" s="29" t="s">
        <v>22</v>
      </c>
      <c r="B15" s="41">
        <f>SUM(B7:B14)</f>
        <v>429</v>
      </c>
      <c r="C15" s="2"/>
      <c r="D15" s="2"/>
      <c r="G15" s="29"/>
      <c r="H15" s="6"/>
      <c r="I15" s="6"/>
      <c r="J15" s="6"/>
      <c r="K15" s="30" t="s">
        <v>29</v>
      </c>
      <c r="L15" s="41">
        <f>SUM(L8:L14)</f>
        <v>1518.0400000000002</v>
      </c>
      <c r="M15" t="s">
        <v>82</v>
      </c>
    </row>
    <row r="17" spans="1:13" ht="15.6">
      <c r="A17" s="35" t="s">
        <v>49</v>
      </c>
      <c r="B17" s="52"/>
      <c r="C17" s="53"/>
      <c r="E17" s="35" t="s">
        <v>50</v>
      </c>
      <c r="F17" s="52"/>
      <c r="G17" s="52"/>
      <c r="H17" s="52"/>
      <c r="I17" s="52"/>
      <c r="J17" s="10"/>
      <c r="K17" s="10"/>
      <c r="L17" s="11"/>
    </row>
    <row r="18" spans="1:13" ht="15">
      <c r="A18" s="21" t="s">
        <v>23</v>
      </c>
      <c r="B18" s="22" t="s">
        <v>24</v>
      </c>
      <c r="C18" s="23" t="s">
        <v>10</v>
      </c>
      <c r="E18" s="21" t="s">
        <v>25</v>
      </c>
      <c r="F18" s="22"/>
      <c r="G18" s="22" t="s">
        <v>26</v>
      </c>
      <c r="H18" s="22" t="s">
        <v>27</v>
      </c>
      <c r="I18" s="22" t="s">
        <v>25</v>
      </c>
      <c r="J18" s="22"/>
      <c r="K18" s="22" t="s">
        <v>26</v>
      </c>
      <c r="L18" s="23" t="s">
        <v>27</v>
      </c>
      <c r="M18" s="2"/>
    </row>
    <row r="19" spans="1:13" ht="15">
      <c r="A19" s="24" t="s">
        <v>12</v>
      </c>
      <c r="B19" s="13">
        <v>4</v>
      </c>
      <c r="C19" s="34"/>
      <c r="E19" s="49">
        <v>3</v>
      </c>
      <c r="F19" s="50" t="s">
        <v>28</v>
      </c>
      <c r="G19" s="17">
        <v>400</v>
      </c>
      <c r="H19" s="18">
        <f>E19*G19</f>
        <v>1200</v>
      </c>
      <c r="I19" s="19"/>
      <c r="J19" s="50" t="s">
        <v>28</v>
      </c>
      <c r="K19" s="17"/>
      <c r="L19" s="18">
        <f>I19*K19</f>
        <v>0</v>
      </c>
      <c r="M19" s="2"/>
    </row>
    <row r="20" spans="1:13" ht="15">
      <c r="A20" s="24" t="s">
        <v>16</v>
      </c>
      <c r="B20" s="13">
        <v>0</v>
      </c>
      <c r="C20" s="34">
        <v>0</v>
      </c>
      <c r="E20" s="49">
        <v>5</v>
      </c>
      <c r="F20" s="50" t="s">
        <v>28</v>
      </c>
      <c r="G20" s="17">
        <v>200</v>
      </c>
      <c r="H20" s="18">
        <f>E20*G20</f>
        <v>1000</v>
      </c>
      <c r="I20" s="19"/>
      <c r="J20" s="50" t="s">
        <v>28</v>
      </c>
      <c r="K20" s="17"/>
      <c r="L20" s="18">
        <f>I20*K20</f>
        <v>0</v>
      </c>
      <c r="M20" s="2"/>
    </row>
    <row r="21" spans="1:13" ht="15">
      <c r="A21" s="24" t="s">
        <v>18</v>
      </c>
      <c r="B21" s="13">
        <v>0</v>
      </c>
      <c r="C21" s="34">
        <v>0</v>
      </c>
      <c r="E21" s="49">
        <v>1</v>
      </c>
      <c r="F21" s="50" t="s">
        <v>28</v>
      </c>
      <c r="G21" s="17">
        <v>100</v>
      </c>
      <c r="H21" s="18">
        <f>E21*G21</f>
        <v>100</v>
      </c>
      <c r="I21" s="19"/>
      <c r="J21" s="50" t="s">
        <v>28</v>
      </c>
      <c r="K21" s="17"/>
      <c r="L21" s="18">
        <f>I21*K21</f>
        <v>0</v>
      </c>
      <c r="M21" s="2"/>
    </row>
    <row r="22" spans="1:13" ht="15">
      <c r="A22" s="24" t="s">
        <v>20</v>
      </c>
      <c r="B22" s="13">
        <v>0</v>
      </c>
      <c r="C22" s="34">
        <v>0</v>
      </c>
      <c r="E22" s="49"/>
      <c r="F22" s="50" t="s">
        <v>28</v>
      </c>
      <c r="G22" s="17"/>
      <c r="H22" s="18">
        <f>E22*G22</f>
        <v>0</v>
      </c>
      <c r="I22" s="19"/>
      <c r="J22" s="50" t="s">
        <v>28</v>
      </c>
      <c r="K22" s="17"/>
      <c r="L22" s="18">
        <f>I22*K22</f>
        <v>0</v>
      </c>
      <c r="M22" s="2"/>
    </row>
    <row r="23" spans="1:13" ht="15">
      <c r="A23" s="24"/>
      <c r="B23" s="46"/>
      <c r="C23" s="51"/>
      <c r="E23" s="49"/>
      <c r="F23" s="50" t="s">
        <v>28</v>
      </c>
      <c r="G23" s="17">
        <v>500</v>
      </c>
      <c r="H23" s="18">
        <f>E23*G23</f>
        <v>0</v>
      </c>
      <c r="I23" s="19"/>
      <c r="J23" s="50" t="s">
        <v>28</v>
      </c>
      <c r="K23" s="17"/>
      <c r="L23" s="18">
        <f>I23*K23</f>
        <v>0</v>
      </c>
      <c r="M23" s="2"/>
    </row>
    <row r="24" spans="1:13" ht="15">
      <c r="A24" s="47"/>
      <c r="B24" s="48" t="s">
        <v>30</v>
      </c>
      <c r="C24" s="16">
        <f>SUM(C19:C23)</f>
        <v>0</v>
      </c>
      <c r="E24" s="24"/>
      <c r="F24" s="25"/>
      <c r="G24" s="25"/>
      <c r="H24" s="50"/>
      <c r="I24" s="25"/>
      <c r="J24" s="25"/>
      <c r="K24" s="25"/>
      <c r="L24" s="28"/>
      <c r="M24" s="2"/>
    </row>
    <row r="25" spans="1:13" ht="15">
      <c r="E25" s="47"/>
      <c r="F25" s="48"/>
      <c r="G25" s="48"/>
      <c r="H25" s="57"/>
      <c r="I25" s="48"/>
      <c r="J25" s="48"/>
      <c r="K25" s="58" t="s">
        <v>51</v>
      </c>
      <c r="L25" s="16">
        <f>H19+H20+H21+H23+L19+L20+L21+L23+L22+H22</f>
        <v>2300</v>
      </c>
      <c r="M25" s="2"/>
    </row>
    <row r="26" spans="1:13" ht="15">
      <c r="M26" s="2"/>
    </row>
    <row r="27" spans="1:13" ht="15.6">
      <c r="A27" s="35" t="s">
        <v>31</v>
      </c>
      <c r="B27" s="52"/>
      <c r="C27" s="52"/>
      <c r="D27" s="52"/>
      <c r="E27" s="11"/>
      <c r="M27" s="2"/>
    </row>
    <row r="28" spans="1:13" ht="15">
      <c r="A28" s="21" t="s">
        <v>32</v>
      </c>
      <c r="B28" s="22"/>
      <c r="C28" s="22"/>
      <c r="D28" s="22"/>
      <c r="E28" s="23"/>
      <c r="G28" s="2"/>
      <c r="H28" s="2"/>
      <c r="I28" s="2"/>
      <c r="J28" s="2"/>
      <c r="K28" s="2"/>
      <c r="L28" s="2"/>
      <c r="M28" s="2"/>
    </row>
    <row r="29" spans="1:13" ht="15">
      <c r="A29" s="49">
        <v>4</v>
      </c>
      <c r="B29" s="50" t="s">
        <v>28</v>
      </c>
      <c r="C29" s="13">
        <v>200</v>
      </c>
      <c r="D29" s="25"/>
      <c r="E29" s="18"/>
      <c r="F29" s="2"/>
      <c r="M29" s="2"/>
    </row>
    <row r="30" spans="1:13" ht="15">
      <c r="A30" s="49"/>
      <c r="B30" s="50" t="s">
        <v>28</v>
      </c>
      <c r="C30" s="13"/>
      <c r="D30" s="25"/>
      <c r="E30" s="18">
        <f>A30*C30</f>
        <v>0</v>
      </c>
      <c r="F30" s="2"/>
    </row>
    <row r="31" spans="1:13" ht="15">
      <c r="A31" s="49"/>
      <c r="B31" s="50" t="s">
        <v>28</v>
      </c>
      <c r="C31" s="13"/>
      <c r="D31" s="25"/>
      <c r="E31" s="18">
        <f>A31*C31</f>
        <v>0</v>
      </c>
      <c r="F31" s="2"/>
    </row>
    <row r="32" spans="1:13" ht="15">
      <c r="A32" s="54"/>
      <c r="B32" s="50" t="s">
        <v>28</v>
      </c>
      <c r="C32" s="46"/>
      <c r="D32" s="25"/>
      <c r="E32" s="55">
        <f>A32*C32</f>
        <v>0</v>
      </c>
      <c r="F32" s="2"/>
    </row>
    <row r="33" spans="1:15" ht="15">
      <c r="A33" s="56"/>
      <c r="B33" s="57"/>
      <c r="C33" s="57" t="s">
        <v>34</v>
      </c>
      <c r="D33" s="48"/>
      <c r="E33" s="18">
        <f>SUM(E29:E32)</f>
        <v>0</v>
      </c>
      <c r="F33" s="2"/>
    </row>
    <row r="34" spans="1:15" ht="15">
      <c r="F34" s="2"/>
      <c r="H34" t="s">
        <v>83</v>
      </c>
    </row>
    <row r="35" spans="1:15" ht="15">
      <c r="F35" s="2"/>
    </row>
    <row r="36" spans="1:15" ht="15.6">
      <c r="A36" s="64" t="s">
        <v>73</v>
      </c>
      <c r="B36" s="57"/>
      <c r="C36" s="57"/>
      <c r="D36" s="48"/>
      <c r="E36" s="58"/>
      <c r="F36" s="2"/>
    </row>
    <row r="37" spans="1:15" ht="15">
      <c r="A37" s="59"/>
      <c r="B37" s="60"/>
      <c r="C37" s="60"/>
      <c r="D37" s="22"/>
      <c r="E37" s="23"/>
      <c r="F37" s="2"/>
    </row>
    <row r="38" spans="1:15" ht="15">
      <c r="A38" s="61" t="s">
        <v>35</v>
      </c>
      <c r="B38" s="12"/>
      <c r="C38" s="50"/>
      <c r="D38" s="25"/>
      <c r="E38" s="26"/>
      <c r="F38" s="2"/>
      <c r="K38" s="2"/>
      <c r="L38" s="2"/>
    </row>
    <row r="39" spans="1:15" ht="15.6">
      <c r="A39" s="61" t="s">
        <v>36</v>
      </c>
      <c r="B39" s="12"/>
      <c r="C39" s="50"/>
      <c r="D39" s="25"/>
      <c r="E39" s="26"/>
      <c r="F39" s="2"/>
      <c r="G39" s="7"/>
      <c r="H39" s="73" t="s">
        <v>40</v>
      </c>
      <c r="I39" s="73"/>
      <c r="J39" s="73"/>
      <c r="K39" s="7"/>
      <c r="L39" s="7"/>
      <c r="M39" s="2"/>
    </row>
    <row r="40" spans="1:15" ht="15">
      <c r="A40" s="24"/>
      <c r="B40" s="62"/>
      <c r="C40" s="25"/>
      <c r="D40" s="25"/>
      <c r="E40" s="26"/>
      <c r="F40" s="2"/>
      <c r="G40" s="71" t="s">
        <v>52</v>
      </c>
      <c r="H40" s="2" t="s">
        <v>35</v>
      </c>
      <c r="I40" s="20">
        <f>B15</f>
        <v>429</v>
      </c>
      <c r="J40" s="2"/>
      <c r="M40" s="31"/>
    </row>
    <row r="41" spans="1:15" ht="15">
      <c r="A41" s="29" t="s">
        <v>37</v>
      </c>
      <c r="B41" s="18"/>
      <c r="C41" s="6"/>
      <c r="D41" s="6"/>
      <c r="E41" s="63"/>
      <c r="F41" s="2"/>
      <c r="G41" s="71" t="s">
        <v>53</v>
      </c>
      <c r="H41" s="2" t="s">
        <v>58</v>
      </c>
      <c r="I41" s="20">
        <f>+E14</f>
        <v>2838.47</v>
      </c>
      <c r="J41" s="2"/>
    </row>
    <row r="42" spans="1:15" ht="15">
      <c r="A42" s="2"/>
      <c r="B42" s="2"/>
      <c r="C42" s="2"/>
      <c r="D42" s="2"/>
      <c r="E42" s="2"/>
      <c r="F42" s="2"/>
      <c r="G42" s="71" t="s">
        <v>54</v>
      </c>
      <c r="H42" s="2" t="s">
        <v>59</v>
      </c>
      <c r="I42" s="20">
        <f>+L15</f>
        <v>1518.0400000000002</v>
      </c>
      <c r="J42" s="2"/>
    </row>
    <row r="43" spans="1:15" ht="15.6">
      <c r="A43" s="65" t="s">
        <v>38</v>
      </c>
      <c r="B43" s="66"/>
      <c r="C43" s="66"/>
      <c r="D43" s="48"/>
      <c r="E43" s="58"/>
      <c r="F43" s="2"/>
      <c r="G43" s="71" t="s">
        <v>55</v>
      </c>
      <c r="H43" s="2" t="s">
        <v>60</v>
      </c>
      <c r="I43" s="20">
        <f>+C24</f>
        <v>0</v>
      </c>
      <c r="J43" s="2"/>
    </row>
    <row r="44" spans="1:15" ht="15">
      <c r="A44" s="24" t="s">
        <v>39</v>
      </c>
      <c r="B44" s="25"/>
      <c r="C44" s="25"/>
      <c r="D44" s="25"/>
      <c r="E44" s="26"/>
      <c r="F44" s="2"/>
      <c r="G44" s="71" t="s">
        <v>56</v>
      </c>
      <c r="H44" s="2" t="s">
        <v>61</v>
      </c>
      <c r="I44" s="20">
        <f>+L25</f>
        <v>2300</v>
      </c>
      <c r="J44" s="2"/>
    </row>
    <row r="45" spans="1:15" ht="15">
      <c r="A45" s="24" t="s">
        <v>41</v>
      </c>
      <c r="B45" s="25"/>
      <c r="C45" s="25"/>
      <c r="D45" s="25"/>
      <c r="E45" s="26"/>
      <c r="F45" s="2"/>
      <c r="G45" s="71" t="s">
        <v>57</v>
      </c>
      <c r="H45" s="2" t="s">
        <v>62</v>
      </c>
      <c r="I45" s="20">
        <f>+E33</f>
        <v>0</v>
      </c>
      <c r="J45" s="2"/>
    </row>
    <row r="46" spans="1:15" ht="15">
      <c r="A46" s="24"/>
      <c r="B46" s="25"/>
      <c r="C46" s="25"/>
      <c r="D46" s="25"/>
      <c r="E46" s="26"/>
      <c r="F46" s="2"/>
      <c r="G46" s="71" t="s">
        <v>63</v>
      </c>
      <c r="H46" s="2" t="s">
        <v>74</v>
      </c>
      <c r="I46" s="20">
        <f>+B41</f>
        <v>0</v>
      </c>
      <c r="J46" s="2"/>
    </row>
    <row r="47" spans="1:15" ht="15">
      <c r="A47" s="29" t="s">
        <v>42</v>
      </c>
      <c r="B47" s="75">
        <v>2502</v>
      </c>
      <c r="C47" s="6"/>
      <c r="D47" s="6"/>
      <c r="E47" s="63"/>
      <c r="F47" s="2"/>
      <c r="G47" s="71"/>
      <c r="H47" s="2" t="s">
        <v>64</v>
      </c>
      <c r="I47" s="96"/>
      <c r="J47" s="2"/>
      <c r="M47" s="76"/>
      <c r="O47" s="77"/>
    </row>
    <row r="48" spans="1:15" ht="15">
      <c r="A48" s="2"/>
      <c r="B48" s="2"/>
      <c r="C48" s="2"/>
      <c r="D48" s="2"/>
      <c r="E48" s="2"/>
      <c r="F48" s="2"/>
      <c r="G48" s="71"/>
      <c r="H48" s="2" t="s">
        <v>44</v>
      </c>
      <c r="I48" s="20">
        <f>SUM(I40:I47)</f>
        <v>7085.51</v>
      </c>
      <c r="J48" s="2"/>
      <c r="O48" s="77"/>
    </row>
    <row r="49" spans="1:15" ht="15">
      <c r="A49" s="2"/>
      <c r="B49" s="2"/>
      <c r="C49" s="2"/>
      <c r="D49" s="2"/>
      <c r="E49" s="2"/>
      <c r="F49" s="2"/>
      <c r="G49" s="71" t="s">
        <v>70</v>
      </c>
      <c r="H49" s="2" t="s">
        <v>84</v>
      </c>
      <c r="I49" s="20">
        <f>+B47</f>
        <v>2502</v>
      </c>
      <c r="J49" s="2"/>
      <c r="O49" s="77"/>
    </row>
    <row r="50" spans="1:15" ht="15.6">
      <c r="A50" s="65" t="s">
        <v>43</v>
      </c>
      <c r="B50" s="66"/>
      <c r="C50" s="66"/>
      <c r="D50" s="66"/>
      <c r="E50" s="68"/>
      <c r="F50" s="2"/>
      <c r="G50" s="72" t="s">
        <v>69</v>
      </c>
      <c r="H50" s="2" t="s">
        <v>77</v>
      </c>
      <c r="I50" s="20">
        <f>+E56</f>
        <v>-4.51</v>
      </c>
      <c r="O50" s="77"/>
    </row>
    <row r="51" spans="1:15" ht="23.4" customHeight="1">
      <c r="A51" s="24" t="s">
        <v>75</v>
      </c>
      <c r="B51" s="25"/>
      <c r="C51" s="25"/>
      <c r="D51" s="25"/>
      <c r="E51" s="12">
        <v>-4.51</v>
      </c>
      <c r="F51" s="2"/>
      <c r="G51" s="82" t="s">
        <v>65</v>
      </c>
      <c r="H51" s="105" t="s">
        <v>66</v>
      </c>
      <c r="I51" s="95">
        <v>0</v>
      </c>
      <c r="J51" s="79"/>
      <c r="K51" s="80"/>
      <c r="M51" s="78"/>
      <c r="O51" s="77"/>
    </row>
    <row r="52" spans="1:15" ht="15">
      <c r="A52" s="24"/>
      <c r="C52" s="25"/>
      <c r="D52" s="25"/>
      <c r="E52" s="26"/>
      <c r="F52" s="2"/>
      <c r="G52" s="82"/>
      <c r="H52" s="2" t="s">
        <v>67</v>
      </c>
      <c r="I52" s="81">
        <f>SUM(I48:I51)</f>
        <v>9583</v>
      </c>
      <c r="J52" s="79"/>
      <c r="K52" s="80"/>
      <c r="O52" s="77"/>
    </row>
    <row r="53" spans="1:15" ht="15">
      <c r="A53" s="24" t="s">
        <v>76</v>
      </c>
      <c r="B53" s="67"/>
      <c r="C53" s="25"/>
      <c r="D53" s="25"/>
      <c r="E53" s="12">
        <v>0</v>
      </c>
      <c r="F53" s="2"/>
      <c r="G53" s="70"/>
      <c r="H53" s="2" t="s">
        <v>46</v>
      </c>
      <c r="I53" s="81">
        <v>9575</v>
      </c>
      <c r="J53" s="79"/>
      <c r="K53" s="80"/>
      <c r="M53" s="78"/>
      <c r="O53" s="77"/>
    </row>
    <row r="54" spans="1:15" ht="15">
      <c r="B54" s="25"/>
      <c r="C54" s="25"/>
      <c r="D54" s="25"/>
      <c r="E54" s="26"/>
      <c r="F54" s="2"/>
      <c r="G54" s="70"/>
      <c r="H54" s="2" t="s">
        <v>68</v>
      </c>
      <c r="I54" s="81">
        <f>I53-I52</f>
        <v>-8</v>
      </c>
      <c r="J54" t="s">
        <v>85</v>
      </c>
      <c r="K54" s="106"/>
      <c r="L54" s="106"/>
      <c r="O54" s="77"/>
    </row>
    <row r="55" spans="1:15" ht="15">
      <c r="A55" s="24"/>
      <c r="B55" s="62"/>
      <c r="C55" s="25"/>
      <c r="D55" s="25"/>
      <c r="E55" s="26"/>
      <c r="F55" s="2"/>
      <c r="G55" s="70"/>
      <c r="O55" s="77"/>
    </row>
    <row r="56" spans="1:15" ht="15">
      <c r="A56" s="47" t="s">
        <v>45</v>
      </c>
      <c r="B56" s="69"/>
      <c r="C56" s="48"/>
      <c r="D56" s="58"/>
      <c r="E56" s="18">
        <f>E51+E53</f>
        <v>-4.51</v>
      </c>
      <c r="F56" s="2"/>
      <c r="O56" s="77"/>
    </row>
    <row r="57" spans="1:15" ht="15">
      <c r="F57" s="2"/>
      <c r="O57" s="77"/>
    </row>
    <row r="58" spans="1:15" ht="15">
      <c r="A58" s="25"/>
      <c r="B58" s="25"/>
      <c r="C58" s="25"/>
      <c r="D58" s="25"/>
      <c r="E58" s="25"/>
      <c r="F58" s="25"/>
      <c r="G58" s="99"/>
      <c r="H58" s="99"/>
      <c r="I58" s="99"/>
      <c r="J58" s="99"/>
      <c r="K58" s="99"/>
      <c r="L58" s="99"/>
      <c r="M58" s="99"/>
      <c r="N58" s="99"/>
      <c r="O58" s="77"/>
    </row>
    <row r="59" spans="1:15" ht="1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100"/>
      <c r="M59" s="101"/>
      <c r="N59" s="102"/>
      <c r="O59" s="77"/>
    </row>
    <row r="60" spans="1:15" ht="15.6">
      <c r="A60" s="103" t="s">
        <v>79</v>
      </c>
      <c r="B60" s="103"/>
      <c r="C60" s="103"/>
      <c r="D60" s="103"/>
      <c r="E60" s="103"/>
      <c r="F60" s="25"/>
      <c r="G60" s="103"/>
      <c r="H60" s="104"/>
      <c r="I60" s="104"/>
      <c r="J60" s="104"/>
      <c r="K60" s="104"/>
      <c r="L60" s="100"/>
      <c r="M60" s="101"/>
      <c r="N60" s="102"/>
      <c r="O60" s="77"/>
    </row>
    <row r="61" spans="1:15" ht="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100"/>
      <c r="M61" s="101"/>
      <c r="N61" s="102"/>
    </row>
    <row r="62" spans="1:15" ht="15.6">
      <c r="A62" s="25"/>
      <c r="B62" s="25"/>
      <c r="C62" s="25"/>
      <c r="D62" s="25"/>
      <c r="E62" s="25"/>
      <c r="F62" s="103"/>
      <c r="G62" s="25"/>
      <c r="H62" s="25"/>
      <c r="I62" s="25"/>
      <c r="J62" s="25"/>
      <c r="K62" s="25"/>
      <c r="L62" s="100"/>
      <c r="M62" s="101"/>
      <c r="N62" s="102"/>
    </row>
    <row r="63" spans="1:15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</row>
    <row r="64" spans="1:15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</row>
    <row r="65" spans="1:14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</row>
    <row r="66" spans="1:14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</row>
    <row r="67" spans="1:14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</row>
  </sheetData>
  <pageMargins left="0.7" right="0.7" top="0.75" bottom="0.75" header="0.3" footer="0.3"/>
  <pageSetup scale="51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954BB-BD23-4CC2-A699-65A511509467}">
  <dimension ref="A1:D8"/>
  <sheetViews>
    <sheetView tabSelected="1" workbookViewId="0"/>
  </sheetViews>
  <sheetFormatPr defaultRowHeight="13.8"/>
  <cols>
    <col min="1" max="1" width="8.796875" style="76"/>
    <col min="2" max="2" width="22.19921875" style="76" bestFit="1" customWidth="1"/>
    <col min="3" max="3" width="28.8984375" style="76" customWidth="1"/>
    <col min="4" max="4" width="32.3984375" style="76" customWidth="1"/>
    <col min="5" max="16384" width="8.796875" style="76"/>
  </cols>
  <sheetData>
    <row r="1" spans="1:4" ht="28.8">
      <c r="A1" s="107" t="s">
        <v>115</v>
      </c>
      <c r="B1" s="107" t="s">
        <v>103</v>
      </c>
      <c r="C1" s="107" t="s">
        <v>104</v>
      </c>
      <c r="D1" s="97" t="s">
        <v>118</v>
      </c>
    </row>
    <row r="2" spans="1:4" ht="14.4">
      <c r="A2" s="109" t="s">
        <v>201</v>
      </c>
      <c r="B2" s="108" t="s">
        <v>105</v>
      </c>
      <c r="C2" s="109" t="s">
        <v>106</v>
      </c>
      <c r="D2" s="94"/>
    </row>
    <row r="3" spans="1:4" ht="14.4">
      <c r="A3" s="109" t="s">
        <v>202</v>
      </c>
      <c r="B3" s="108" t="s">
        <v>107</v>
      </c>
      <c r="C3" s="109" t="s">
        <v>108</v>
      </c>
      <c r="D3" s="94"/>
    </row>
    <row r="4" spans="1:4" ht="14.4">
      <c r="A4" s="109" t="s">
        <v>203</v>
      </c>
      <c r="B4" s="108" t="s">
        <v>109</v>
      </c>
      <c r="C4" s="109" t="s">
        <v>117</v>
      </c>
      <c r="D4" s="94"/>
    </row>
    <row r="5" spans="1:4" ht="14.4">
      <c r="A5" s="109" t="s">
        <v>204</v>
      </c>
      <c r="B5" s="108" t="s">
        <v>110</v>
      </c>
      <c r="C5" s="109" t="s">
        <v>116</v>
      </c>
      <c r="D5" s="94"/>
    </row>
    <row r="6" spans="1:4" ht="27.6">
      <c r="A6" s="109" t="s">
        <v>205</v>
      </c>
      <c r="B6" s="108" t="s">
        <v>111</v>
      </c>
      <c r="C6" s="109" t="s">
        <v>112</v>
      </c>
      <c r="D6" s="94"/>
    </row>
    <row r="7" spans="1:4" ht="14.4">
      <c r="A7" s="109" t="s">
        <v>206</v>
      </c>
      <c r="B7" s="108" t="s">
        <v>113</v>
      </c>
      <c r="C7" s="109" t="s">
        <v>114</v>
      </c>
      <c r="D7" s="94"/>
    </row>
    <row r="8" spans="1:4" ht="14.4">
      <c r="B8" s="93"/>
      <c r="C8" s="93"/>
      <c r="D8" s="9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485C-9872-4D34-82FB-09CB76348581}">
  <dimension ref="B1:J24"/>
  <sheetViews>
    <sheetView workbookViewId="0">
      <selection activeCell="C4" sqref="C4"/>
    </sheetView>
  </sheetViews>
  <sheetFormatPr defaultRowHeight="13.8"/>
  <cols>
    <col min="1" max="1" width="12.69921875" style="110" customWidth="1"/>
    <col min="2" max="2" width="5" style="110" bestFit="1" customWidth="1"/>
    <col min="3" max="3" width="15.19921875" style="110" bestFit="1" customWidth="1"/>
    <col min="4" max="4" width="27.796875" style="110" customWidth="1"/>
    <col min="5" max="5" width="19.69921875" style="110" bestFit="1" customWidth="1"/>
    <col min="6" max="6" width="19.69921875" style="110" customWidth="1"/>
    <col min="7" max="7" width="17.296875" style="110" bestFit="1" customWidth="1"/>
    <col min="8" max="8" width="18" style="110" bestFit="1" customWidth="1"/>
    <col min="9" max="9" width="16.69921875" style="110" customWidth="1"/>
    <col min="10" max="10" width="17.09765625" style="110" bestFit="1" customWidth="1"/>
    <col min="11" max="16384" width="8.796875" style="110"/>
  </cols>
  <sheetData>
    <row r="1" spans="2:10" ht="41.4" customHeight="1">
      <c r="E1" s="111"/>
      <c r="H1" s="123" t="s">
        <v>207</v>
      </c>
      <c r="I1" s="123"/>
      <c r="J1" s="123"/>
    </row>
    <row r="2" spans="2:10">
      <c r="B2" s="89" t="s">
        <v>86</v>
      </c>
      <c r="C2" s="90" t="s">
        <v>192</v>
      </c>
      <c r="D2" s="91" t="s">
        <v>90</v>
      </c>
      <c r="E2" s="91" t="s">
        <v>193</v>
      </c>
      <c r="F2" s="91" t="s">
        <v>88</v>
      </c>
      <c r="G2" s="91" t="s">
        <v>87</v>
      </c>
      <c r="H2" s="91" t="s">
        <v>89</v>
      </c>
      <c r="I2" s="121" t="s">
        <v>194</v>
      </c>
      <c r="J2" s="122"/>
    </row>
    <row r="3" spans="2:10">
      <c r="B3" s="119">
        <v>5082</v>
      </c>
      <c r="C3" s="83" t="s">
        <v>91</v>
      </c>
      <c r="D3" s="86" t="s">
        <v>95</v>
      </c>
      <c r="E3" s="86"/>
      <c r="F3" s="85" t="s">
        <v>93</v>
      </c>
      <c r="G3" s="84" t="s">
        <v>92</v>
      </c>
      <c r="H3" s="85" t="s">
        <v>94</v>
      </c>
      <c r="I3" s="112" t="s">
        <v>195</v>
      </c>
      <c r="J3" s="113" t="s">
        <v>196</v>
      </c>
    </row>
    <row r="4" spans="2:10">
      <c r="B4" s="119"/>
      <c r="C4" s="87" t="s">
        <v>96</v>
      </c>
      <c r="D4" s="86" t="s">
        <v>97</v>
      </c>
      <c r="E4" s="86"/>
      <c r="F4" s="114"/>
      <c r="G4" s="115"/>
      <c r="H4" s="114"/>
      <c r="I4" s="116" t="s">
        <v>197</v>
      </c>
      <c r="J4" s="116" t="s">
        <v>198</v>
      </c>
    </row>
    <row r="5" spans="2:10">
      <c r="B5" s="92">
        <v>5450</v>
      </c>
      <c r="C5" s="87" t="s">
        <v>98</v>
      </c>
      <c r="D5" s="86" t="s">
        <v>102</v>
      </c>
      <c r="E5" s="86"/>
      <c r="F5" s="88" t="s">
        <v>100</v>
      </c>
      <c r="G5" s="88" t="s">
        <v>99</v>
      </c>
      <c r="H5" s="85" t="s">
        <v>101</v>
      </c>
      <c r="I5" s="116" t="s">
        <v>199</v>
      </c>
      <c r="J5" s="116" t="s">
        <v>101</v>
      </c>
    </row>
    <row r="6" spans="2:10">
      <c r="B6" s="119">
        <v>5015</v>
      </c>
      <c r="C6" s="87" t="s">
        <v>119</v>
      </c>
      <c r="D6" s="86" t="s">
        <v>123</v>
      </c>
      <c r="E6" s="86"/>
      <c r="F6" s="88" t="s">
        <v>121</v>
      </c>
      <c r="G6" s="88" t="s">
        <v>120</v>
      </c>
      <c r="H6" s="85" t="s">
        <v>122</v>
      </c>
      <c r="I6" s="116" t="s">
        <v>199</v>
      </c>
      <c r="J6" s="116" t="s">
        <v>200</v>
      </c>
    </row>
    <row r="7" spans="2:10">
      <c r="B7" s="120"/>
      <c r="C7" s="87" t="s">
        <v>124</v>
      </c>
      <c r="D7" s="86" t="s">
        <v>125</v>
      </c>
      <c r="E7" s="86"/>
      <c r="F7" s="114"/>
      <c r="G7" s="117"/>
      <c r="H7" s="114"/>
    </row>
    <row r="8" spans="2:10">
      <c r="B8" s="119">
        <v>5055</v>
      </c>
      <c r="C8" s="87" t="s">
        <v>126</v>
      </c>
      <c r="D8" s="86" t="s">
        <v>130</v>
      </c>
      <c r="E8" s="86"/>
      <c r="F8" s="85" t="s">
        <v>128</v>
      </c>
      <c r="G8" s="118" t="s">
        <v>127</v>
      </c>
      <c r="H8" s="88" t="s">
        <v>129</v>
      </c>
    </row>
    <row r="9" spans="2:10">
      <c r="B9" s="119"/>
      <c r="C9" s="87" t="s">
        <v>131</v>
      </c>
      <c r="D9" s="86" t="s">
        <v>132</v>
      </c>
      <c r="E9" s="86"/>
      <c r="F9" s="114"/>
      <c r="G9" s="115"/>
      <c r="H9" s="114"/>
    </row>
    <row r="10" spans="2:10">
      <c r="B10" s="92">
        <v>5567</v>
      </c>
      <c r="C10" s="87" t="s">
        <v>133</v>
      </c>
      <c r="D10" s="86" t="s">
        <v>137</v>
      </c>
      <c r="E10" s="86"/>
      <c r="F10" s="88" t="s">
        <v>135</v>
      </c>
      <c r="G10" s="118" t="s">
        <v>134</v>
      </c>
      <c r="H10" s="88" t="s">
        <v>136</v>
      </c>
    </row>
    <row r="11" spans="2:10">
      <c r="B11" s="92">
        <v>5540</v>
      </c>
      <c r="C11" s="85" t="s">
        <v>138</v>
      </c>
      <c r="D11" s="86" t="s">
        <v>141</v>
      </c>
      <c r="E11" s="86"/>
      <c r="F11" s="88" t="s">
        <v>140</v>
      </c>
      <c r="G11" s="118" t="s">
        <v>139</v>
      </c>
      <c r="H11" s="85" t="s">
        <v>101</v>
      </c>
    </row>
    <row r="12" spans="2:10">
      <c r="B12" s="92">
        <v>5524</v>
      </c>
      <c r="C12" s="87" t="s">
        <v>142</v>
      </c>
      <c r="D12" s="86" t="s">
        <v>145</v>
      </c>
      <c r="E12" s="86"/>
      <c r="F12" s="88" t="s">
        <v>144</v>
      </c>
      <c r="G12" s="118" t="s">
        <v>143</v>
      </c>
      <c r="H12" s="85" t="s">
        <v>101</v>
      </c>
    </row>
    <row r="13" spans="2:10">
      <c r="B13" s="92">
        <v>5046</v>
      </c>
      <c r="C13" s="87" t="s">
        <v>146</v>
      </c>
      <c r="D13" s="86" t="s">
        <v>149</v>
      </c>
      <c r="E13" s="86"/>
      <c r="F13" s="88" t="s">
        <v>148</v>
      </c>
      <c r="G13" s="118" t="s">
        <v>147</v>
      </c>
      <c r="H13" s="85" t="s">
        <v>136</v>
      </c>
    </row>
    <row r="14" spans="2:10">
      <c r="B14" s="92">
        <v>5553</v>
      </c>
      <c r="C14" s="87" t="s">
        <v>150</v>
      </c>
      <c r="D14" s="86" t="s">
        <v>153</v>
      </c>
      <c r="E14" s="86"/>
      <c r="F14" s="88" t="s">
        <v>152</v>
      </c>
      <c r="G14" s="118" t="s">
        <v>151</v>
      </c>
      <c r="H14" s="85" t="s">
        <v>129</v>
      </c>
    </row>
    <row r="15" spans="2:10">
      <c r="B15" s="92">
        <v>5579</v>
      </c>
      <c r="C15" s="87" t="s">
        <v>154</v>
      </c>
      <c r="D15" s="86" t="s">
        <v>157</v>
      </c>
      <c r="E15" s="86"/>
      <c r="F15" s="88" t="s">
        <v>156</v>
      </c>
      <c r="G15" s="118" t="s">
        <v>155</v>
      </c>
      <c r="H15" s="85" t="s">
        <v>136</v>
      </c>
    </row>
    <row r="16" spans="2:10">
      <c r="B16" s="119">
        <v>5541</v>
      </c>
      <c r="C16" s="83" t="s">
        <v>158</v>
      </c>
      <c r="D16" s="86" t="s">
        <v>161</v>
      </c>
      <c r="E16" s="86"/>
      <c r="F16" s="85" t="s">
        <v>160</v>
      </c>
      <c r="G16" s="118" t="s">
        <v>159</v>
      </c>
      <c r="H16" s="85" t="s">
        <v>94</v>
      </c>
    </row>
    <row r="17" spans="2:8">
      <c r="B17" s="119"/>
      <c r="C17" s="87" t="s">
        <v>162</v>
      </c>
      <c r="D17" s="86" t="s">
        <v>163</v>
      </c>
      <c r="E17" s="86"/>
      <c r="F17" s="114"/>
      <c r="G17" s="115"/>
      <c r="H17" s="114"/>
    </row>
    <row r="18" spans="2:8">
      <c r="B18" s="92">
        <v>5454</v>
      </c>
      <c r="C18" s="87" t="s">
        <v>164</v>
      </c>
      <c r="D18" s="86" t="s">
        <v>167</v>
      </c>
      <c r="E18" s="86"/>
      <c r="F18" s="85" t="s">
        <v>166</v>
      </c>
      <c r="G18" s="118" t="s">
        <v>165</v>
      </c>
      <c r="H18" s="85" t="s">
        <v>94</v>
      </c>
    </row>
    <row r="19" spans="2:8">
      <c r="B19" s="92">
        <v>5129</v>
      </c>
      <c r="C19" s="87" t="s">
        <v>168</v>
      </c>
      <c r="D19" s="86" t="s">
        <v>171</v>
      </c>
      <c r="E19" s="86"/>
      <c r="F19" s="88" t="s">
        <v>170</v>
      </c>
      <c r="G19" s="118" t="s">
        <v>169</v>
      </c>
      <c r="H19" s="85" t="s">
        <v>136</v>
      </c>
    </row>
    <row r="20" spans="2:8">
      <c r="B20" s="92">
        <v>5580</v>
      </c>
      <c r="C20" s="87" t="s">
        <v>172</v>
      </c>
      <c r="D20" s="86" t="s">
        <v>175</v>
      </c>
      <c r="E20" s="86"/>
      <c r="F20" s="88" t="s">
        <v>174</v>
      </c>
      <c r="G20" s="118" t="s">
        <v>173</v>
      </c>
      <c r="H20" s="85" t="s">
        <v>136</v>
      </c>
    </row>
    <row r="21" spans="2:8">
      <c r="B21" s="92">
        <v>5562</v>
      </c>
      <c r="C21" s="87" t="s">
        <v>176</v>
      </c>
      <c r="D21" s="86" t="s">
        <v>179</v>
      </c>
      <c r="E21" s="86"/>
      <c r="F21" s="88" t="s">
        <v>178</v>
      </c>
      <c r="G21" s="118" t="s">
        <v>177</v>
      </c>
      <c r="H21" s="85" t="s">
        <v>129</v>
      </c>
    </row>
    <row r="22" spans="2:8">
      <c r="B22" s="92">
        <v>5581</v>
      </c>
      <c r="C22" s="85" t="s">
        <v>180</v>
      </c>
      <c r="D22" s="86" t="s">
        <v>184</v>
      </c>
      <c r="E22" s="86"/>
      <c r="F22" s="88" t="s">
        <v>182</v>
      </c>
      <c r="G22" s="118" t="s">
        <v>181</v>
      </c>
      <c r="H22" s="85" t="s">
        <v>183</v>
      </c>
    </row>
    <row r="23" spans="2:8">
      <c r="B23" s="92">
        <v>5089</v>
      </c>
      <c r="C23" s="85" t="s">
        <v>185</v>
      </c>
      <c r="D23" s="86" t="s">
        <v>187</v>
      </c>
      <c r="E23" s="86"/>
      <c r="F23" s="88" t="s">
        <v>186</v>
      </c>
      <c r="G23" s="118" t="s">
        <v>134</v>
      </c>
      <c r="H23" s="85" t="s">
        <v>136</v>
      </c>
    </row>
    <row r="24" spans="2:8">
      <c r="B24" s="92">
        <v>5452</v>
      </c>
      <c r="C24" s="87" t="s">
        <v>188</v>
      </c>
      <c r="D24" s="86" t="s">
        <v>191</v>
      </c>
      <c r="E24" s="86"/>
      <c r="F24" s="88" t="s">
        <v>190</v>
      </c>
      <c r="G24" s="118" t="s">
        <v>189</v>
      </c>
      <c r="H24" s="85" t="s">
        <v>129</v>
      </c>
    </row>
  </sheetData>
  <mergeCells count="6">
    <mergeCell ref="H1:J1"/>
    <mergeCell ref="B3:B4"/>
    <mergeCell ref="B6:B7"/>
    <mergeCell ref="B8:B9"/>
    <mergeCell ref="B16:B17"/>
    <mergeCell ref="I2:J2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CDF4AE13F64D40BBB65824B29FAA7E" ma:contentTypeVersion="8" ma:contentTypeDescription="Create a new document." ma:contentTypeScope="" ma:versionID="0d2301f73a884384ddd5c8a4d00c99b5">
  <xsd:schema xmlns:xsd="http://www.w3.org/2001/XMLSchema" xmlns:xs="http://www.w3.org/2001/XMLSchema" xmlns:p="http://schemas.microsoft.com/office/2006/metadata/properties" xmlns:ns2="165b96c2-f4bb-42d4-bd0e-5bd22b3c2c99" targetNamespace="http://schemas.microsoft.com/office/2006/metadata/properties" ma:root="true" ma:fieldsID="f44d8ff651ee59b55465c93f60004624" ns2:_="">
    <xsd:import namespace="165b96c2-f4bb-42d4-bd0e-5bd22b3c2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b96c2-f4bb-42d4-bd0e-5bd22b3c2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4100DD-9604-4D6D-B080-152095F3FAE0}">
  <ds:schemaRefs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165b96c2-f4bb-42d4-bd0e-5bd22b3c2c99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C46D7E8-5F30-4E91-A1E5-4030A3C19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b96c2-f4bb-42d4-bd0e-5bd22b3c2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77FD12-FF7E-4FED-B391-03DF70F4595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d62b7dd-4b48-44bd-90e7-e143a22c8ead}" enabled="0" method="" siteId="{cd62b7dd-4b48-44bd-90e7-e143a22c8e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Final Cashroom Form</vt:lpstr>
      <vt:lpstr>Role Terminology</vt:lpstr>
      <vt:lpstr>User Details</vt:lpstr>
      <vt:lpstr>'Final Cashroom Form'!Print_Area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Spoor, Jamie</dc:creator>
  <cp:keywords/>
  <dc:description/>
  <cp:lastModifiedBy>Pankhuri Gupta</cp:lastModifiedBy>
  <cp:revision/>
  <cp:lastPrinted>2026-02-23T14:49:22Z</cp:lastPrinted>
  <dcterms:created xsi:type="dcterms:W3CDTF">2026-01-06T14:45:26Z</dcterms:created>
  <dcterms:modified xsi:type="dcterms:W3CDTF">2026-03-03T18:36:16Z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0x010100F1CDF4AE13F64D40BBB65824B29FAA7E</vt:lpwstr>
  </property>
</Properties>
</file>