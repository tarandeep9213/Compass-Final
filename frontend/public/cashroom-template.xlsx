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Pankhurig\Downloads\"/>
    </mc:Choice>
  </mc:AlternateContent>
  <xr:revisionPtr revIDLastSave="0" documentId="13_ncr:1_{81F3B719-CA37-424D-ABF3-60AA1624D9E7}" xr6:coauthVersionLast="36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1-20-26" sheetId="12" r:id="rId1"/>
  </sheets>
  <definedNames>
    <definedName name="_xlnm.Print_Area" localSheetId="0">'1-20-26'!$A$1:$P$62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2" l="1"/>
  <c r="L12" i="12" s="1"/>
  <c r="L22" i="12" l="1"/>
  <c r="H22" i="12"/>
  <c r="B15" i="12"/>
  <c r="L40" i="12" s="1"/>
  <c r="L49" i="12"/>
  <c r="L46" i="12"/>
  <c r="E56" i="12"/>
  <c r="L50" i="12" s="1"/>
  <c r="E14" i="12"/>
  <c r="L41" i="12" s="1"/>
  <c r="E32" i="12"/>
  <c r="E31" i="12"/>
  <c r="E30" i="12"/>
  <c r="C24" i="12"/>
  <c r="L43" i="12" s="1"/>
  <c r="L23" i="12"/>
  <c r="H23" i="12"/>
  <c r="L21" i="12"/>
  <c r="H21" i="12"/>
  <c r="L20" i="12"/>
  <c r="H20" i="12"/>
  <c r="L19" i="12"/>
  <c r="H19" i="12"/>
  <c r="K14" i="12"/>
  <c r="L14" i="12" s="1"/>
  <c r="K13" i="12"/>
  <c r="L13" i="12" s="1"/>
  <c r="K11" i="12"/>
  <c r="L11" i="12" s="1"/>
  <c r="K10" i="12"/>
  <c r="L10" i="12" s="1"/>
  <c r="K9" i="12"/>
  <c r="L9" i="12" s="1"/>
  <c r="K8" i="12"/>
  <c r="L8" i="12" s="1"/>
  <c r="L25" i="12" l="1"/>
  <c r="L44" i="12" s="1"/>
  <c r="E33" i="12"/>
  <c r="L45" i="12" s="1"/>
  <c r="L15" i="12"/>
  <c r="L42" i="12" s="1"/>
  <c r="L48" i="12" l="1"/>
  <c r="L52" i="12" l="1"/>
  <c r="L54" i="12" s="1"/>
</calcChain>
</file>

<file path=xl/sharedStrings.xml><?xml version="1.0" encoding="utf-8"?>
<sst xmlns="http://schemas.openxmlformats.org/spreadsheetml/2006/main" count="112" uniqueCount="85">
  <si>
    <t>Canteen Vending Services</t>
  </si>
  <si>
    <t>Formulas</t>
  </si>
  <si>
    <t>Daily Cashroom Count Worksheet</t>
  </si>
  <si>
    <t xml:space="preserve">Location </t>
  </si>
  <si>
    <t>Sheboygan</t>
  </si>
  <si>
    <t>Date:_______________________</t>
  </si>
  <si>
    <t>A. Currency</t>
  </si>
  <si>
    <t>Ones</t>
  </si>
  <si>
    <t>Twos</t>
  </si>
  <si>
    <t>No. 1</t>
  </si>
  <si>
    <t>No. 2</t>
  </si>
  <si>
    <t>Totals</t>
  </si>
  <si>
    <t>Fives</t>
  </si>
  <si>
    <t>Dollars</t>
  </si>
  <si>
    <t xml:space="preserve">Tens </t>
  </si>
  <si>
    <t>Halves</t>
  </si>
  <si>
    <t>Twenties</t>
  </si>
  <si>
    <t>Quarters</t>
  </si>
  <si>
    <t>Fifties</t>
  </si>
  <si>
    <t>Dimes</t>
  </si>
  <si>
    <t>Hundreds</t>
  </si>
  <si>
    <t>Nickels</t>
  </si>
  <si>
    <t>Pennies</t>
  </si>
  <si>
    <t>A. Total</t>
  </si>
  <si>
    <t>Type</t>
  </si>
  <si>
    <t xml:space="preserve">No. </t>
  </si>
  <si>
    <t>Number</t>
  </si>
  <si>
    <t>Amount</t>
  </si>
  <si>
    <t>Total</t>
  </si>
  <si>
    <t>ea. @</t>
  </si>
  <si>
    <t>C. Total</t>
  </si>
  <si>
    <t>D. Total</t>
  </si>
  <si>
    <t xml:space="preserve">F.  Returned but Uncounted Manual Change </t>
  </si>
  <si>
    <t xml:space="preserve">      Or DBC Funds ( Not Included in G.)</t>
  </si>
  <si>
    <t xml:space="preserve">Dollars </t>
  </si>
  <si>
    <t>F. Total</t>
  </si>
  <si>
    <t>Currency</t>
  </si>
  <si>
    <t>Coin</t>
  </si>
  <si>
    <t>G. Total</t>
  </si>
  <si>
    <t>H.  Changer Funds Outstanding</t>
  </si>
  <si>
    <t>Per Form #1841, (or as summarized</t>
  </si>
  <si>
    <t>Cashroom Count Totals:</t>
  </si>
  <si>
    <t>on form #403-1)</t>
  </si>
  <si>
    <t>H. Total</t>
  </si>
  <si>
    <t>I.  Net Unreimbursed Bill Changer</t>
  </si>
  <si>
    <t>Total Cash</t>
  </si>
  <si>
    <t>I. Total</t>
  </si>
  <si>
    <t>Cashier's Fund Imprest Balance</t>
  </si>
  <si>
    <t>B. Rolled Coin</t>
  </si>
  <si>
    <t>B.  Total</t>
  </si>
  <si>
    <t>D  Bagged Coin (Full for Bank)</t>
  </si>
  <si>
    <t>E.  Unissued Changer Funds in Cashroom or Vault</t>
  </si>
  <si>
    <t>E. Total</t>
  </si>
  <si>
    <t>A</t>
  </si>
  <si>
    <t>B</t>
  </si>
  <si>
    <t>C</t>
  </si>
  <si>
    <t>D</t>
  </si>
  <si>
    <t>E</t>
  </si>
  <si>
    <t>F</t>
  </si>
  <si>
    <t>Rolled Coin</t>
  </si>
  <si>
    <t>Coins in Counting Machines</t>
  </si>
  <si>
    <t>Bagged Coin</t>
  </si>
  <si>
    <t>Unissued Changers</t>
  </si>
  <si>
    <t>Uncounted/Returned Changers</t>
  </si>
  <si>
    <t>G</t>
  </si>
  <si>
    <t>Deduct Holdeover(if any)</t>
  </si>
  <si>
    <t>Outstanding Funds from Form 1841</t>
  </si>
  <si>
    <t>J</t>
  </si>
  <si>
    <t>K</t>
  </si>
  <si>
    <t xml:space="preserve">Coin Purchase in transit to/from bank </t>
  </si>
  <si>
    <t>Total Cashier's Fund - TODAY</t>
  </si>
  <si>
    <t>Variance - Short or (Over)</t>
  </si>
  <si>
    <t>I</t>
  </si>
  <si>
    <t>H</t>
  </si>
  <si>
    <t>C. Coins in Counting Machines(Sorter/Counter)</t>
  </si>
  <si>
    <t>Other</t>
  </si>
  <si>
    <t>G. Mutilated Currency, Foreign, and/or Bent Coin</t>
  </si>
  <si>
    <t>Mutilated Currency, Foreign, and/or Bent Coin</t>
  </si>
  <si>
    <t>Fund shortage (overage) as of Yesterday</t>
  </si>
  <si>
    <t>Today's Shortage/(Overage)</t>
  </si>
  <si>
    <t>Net Unreimbursed Bill Changer shortage/(overage)</t>
  </si>
  <si>
    <t>Counted By:___________________________________</t>
  </si>
  <si>
    <t>Reviewed By:___________________________ Date:_______________________</t>
  </si>
  <si>
    <t>_____________________</t>
  </si>
  <si>
    <t>Verified By:________________________________________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</si>
</sst>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>
    <font>
      <sz val="11"/>
      <color theme="1"/>
      <name val="Aptos Narrow"/>
      <family val="2"/>
      <scheme val="minor"/>
    </font>
    <font>
      <sz val="12"/>
      <name val="Arial MT"/>
    </font>
    <font>
      <b/>
      <sz val="12"/>
      <color indexed="8"/>
      <name val="Arial MT"/>
    </font>
    <font>
      <b/>
      <sz val="16"/>
      <color indexed="10"/>
      <name val="Arial MT"/>
    </font>
    <font>
      <b/>
      <sz val="12"/>
      <name val="Arial MT"/>
    </font>
    <font>
      <b/>
      <sz val="12"/>
      <color indexed="12"/>
      <name val="Arial MT"/>
    </font>
    <font>
      <u/>
      <sz val="12"/>
      <color indexed="8"/>
      <name val="Arial MT"/>
    </font>
    <font>
      <b/>
      <sz val="11"/>
      <color theme="1"/>
      <name val="Aptos Narrow"/>
      <family val="2"/>
      <scheme val="minor"/>
    </font>
    <font>
      <sz val="10"/>
      <name val="Arial MT"/>
    </font>
    <font>
      <b/>
      <sz val="10"/>
      <name val="Arial MT"/>
    </font>
    <font>
      <b/>
      <sz val="10"/>
      <color theme="1"/>
      <name val="Aptos Narrow"/>
      <family val="2"/>
      <scheme val="minor"/>
    </font>
    <font>
      <b/>
      <u/>
      <sz val="12"/>
      <name val="Arial MT"/>
    </font>
    <font>
      <u/>
      <sz val="12"/>
      <name val="Arial MT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75">
    <xf numFmtId="0" fontId="0" fillId="0" borderId="0" xfId="0"/>
    <xf numFmtId="0" fontId="2" fillId="2" borderId="0" xfId="1" applyFont="1"/>
    <xf numFmtId="0" fontId="1" fillId="2" borderId="0" xfId="1"/>
    <xf numFmtId="0" fontId="1" fillId="3" borderId="0" xfId="1" applyFill="1"/>
    <xf numFmtId="0" fontId="3" fillId="2" borderId="0" xfId="1" applyFont="1" applyAlignment="1">
      <alignment horizontal="right"/>
    </xf>
    <xf numFmtId="0" fontId="4" fillId="2" borderId="1" xfId="1" applyFont="1" applyBorder="1"/>
    <xf numFmtId="0" fontId="5" fillId="2" borderId="1" xfId="1" applyFont="1" applyBorder="1"/>
    <xf numFmtId="0" fontId="1" fillId="2" borderId="1" xfId="1" applyBorder="1"/>
    <xf numFmtId="0" fontId="4" fillId="2" borderId="0" xfId="1" applyFont="1"/>
    <xf numFmtId="14" fontId="4" fillId="4" borderId="0" xfId="1" applyNumberFormat="1" applyFont="1" applyFill="1"/>
    <xf numFmtId="0" fontId="5" fillId="2" borderId="0" xfId="1" applyFont="1"/>
    <xf numFmtId="0" fontId="1" fillId="2" borderId="3" xfId="1" applyBorder="1"/>
    <xf numFmtId="0" fontId="1" fillId="2" borderId="4" xfId="1" applyBorder="1"/>
    <xf numFmtId="39" fontId="1" fillId="4" borderId="5" xfId="1" applyNumberFormat="1" applyFill="1" applyBorder="1"/>
    <xf numFmtId="0" fontId="1" fillId="4" borderId="5" xfId="1" applyFill="1" applyBorder="1"/>
    <xf numFmtId="0" fontId="1" fillId="3" borderId="6" xfId="1" applyFill="1" applyBorder="1"/>
    <xf numFmtId="164" fontId="1" fillId="3" borderId="6" xfId="1" applyNumberFormat="1" applyFill="1" applyBorder="1"/>
    <xf numFmtId="39" fontId="6" fillId="3" borderId="6" xfId="1" applyNumberFormat="1" applyFont="1" applyFill="1" applyBorder="1"/>
    <xf numFmtId="0" fontId="1" fillId="4" borderId="7" xfId="1" applyFill="1" applyBorder="1"/>
    <xf numFmtId="39" fontId="1" fillId="3" borderId="6" xfId="1" applyNumberFormat="1" applyFill="1" applyBorder="1"/>
    <xf numFmtId="0" fontId="1" fillId="4" borderId="8" xfId="1" applyFill="1" applyBorder="1"/>
    <xf numFmtId="39" fontId="1" fillId="3" borderId="5" xfId="1" applyNumberFormat="1" applyFill="1" applyBorder="1"/>
    <xf numFmtId="0" fontId="4" fillId="4" borderId="0" xfId="1" applyFont="1" applyFill="1"/>
    <xf numFmtId="0" fontId="1" fillId="2" borderId="10" xfId="1" applyBorder="1"/>
    <xf numFmtId="0" fontId="1" fillId="2" borderId="11" xfId="1" applyBorder="1"/>
    <xf numFmtId="0" fontId="1" fillId="2" borderId="12" xfId="1" applyBorder="1"/>
    <xf numFmtId="0" fontId="1" fillId="2" borderId="13" xfId="1" applyBorder="1"/>
    <xf numFmtId="0" fontId="1" fillId="2" borderId="14" xfId="1" applyBorder="1"/>
    <xf numFmtId="164" fontId="1" fillId="2" borderId="0" xfId="1" applyNumberFormat="1"/>
    <xf numFmtId="0" fontId="1" fillId="4" borderId="14" xfId="1" applyFill="1" applyBorder="1"/>
    <xf numFmtId="0" fontId="1" fillId="2" borderId="15" xfId="1" applyBorder="1"/>
    <xf numFmtId="0" fontId="1" fillId="4" borderId="1" xfId="1" applyFill="1" applyBorder="1"/>
    <xf numFmtId="0" fontId="7" fillId="0" borderId="0" xfId="0" applyFont="1"/>
    <xf numFmtId="0" fontId="1" fillId="2" borderId="16" xfId="1" applyBorder="1"/>
    <xf numFmtId="39" fontId="1" fillId="4" borderId="17" xfId="1" applyNumberFormat="1" applyFill="1" applyBorder="1"/>
    <xf numFmtId="39" fontId="1" fillId="4" borderId="18" xfId="1" applyNumberFormat="1" applyFill="1" applyBorder="1"/>
    <xf numFmtId="0" fontId="4" fillId="2" borderId="2" xfId="1" applyFont="1" applyBorder="1"/>
    <xf numFmtId="0" fontId="4" fillId="2" borderId="10" xfId="1" applyFont="1" applyBorder="1"/>
    <xf numFmtId="39" fontId="1" fillId="3" borderId="19" xfId="1" applyNumberFormat="1" applyFill="1" applyBorder="1"/>
    <xf numFmtId="39" fontId="1" fillId="2" borderId="20" xfId="1" applyNumberFormat="1" applyBorder="1"/>
    <xf numFmtId="39" fontId="6" fillId="3" borderId="19" xfId="1" applyNumberFormat="1" applyFont="1" applyFill="1" applyBorder="1"/>
    <xf numFmtId="39" fontId="1" fillId="2" borderId="19" xfId="1" applyNumberFormat="1" applyBorder="1"/>
    <xf numFmtId="0" fontId="0" fillId="0" borderId="15" xfId="0" applyBorder="1"/>
    <xf numFmtId="0" fontId="1" fillId="4" borderId="21" xfId="1" applyFill="1" applyBorder="1"/>
    <xf numFmtId="164" fontId="1" fillId="2" borderId="1" xfId="1" applyNumberFormat="1" applyBorder="1"/>
    <xf numFmtId="0" fontId="1" fillId="4" borderId="9" xfId="1" applyFill="1" applyBorder="1"/>
    <xf numFmtId="0" fontId="1" fillId="2" borderId="22" xfId="1" applyBorder="1"/>
    <xf numFmtId="0" fontId="1" fillId="2" borderId="23" xfId="1" applyBorder="1"/>
    <xf numFmtId="0" fontId="1" fillId="4" borderId="24" xfId="1" applyFill="1" applyBorder="1"/>
    <xf numFmtId="0" fontId="1" fillId="4" borderId="0" xfId="1" applyFill="1"/>
    <xf numFmtId="39" fontId="1" fillId="4" borderId="25" xfId="1" applyNumberFormat="1" applyFill="1" applyBorder="1"/>
    <xf numFmtId="0" fontId="4" fillId="2" borderId="3" xfId="1" applyFont="1" applyBorder="1"/>
    <xf numFmtId="0" fontId="4" fillId="2" borderId="4" xfId="1" applyFont="1" applyBorder="1"/>
    <xf numFmtId="0" fontId="1" fillId="4" borderId="26" xfId="1" applyFill="1" applyBorder="1"/>
    <xf numFmtId="39" fontId="1" fillId="3" borderId="16" xfId="1" applyNumberFormat="1" applyFill="1" applyBorder="1"/>
    <xf numFmtId="0" fontId="1" fillId="4" borderId="22" xfId="1" applyFill="1" applyBorder="1"/>
    <xf numFmtId="0" fontId="1" fillId="4" borderId="23" xfId="1" applyFill="1" applyBorder="1"/>
    <xf numFmtId="0" fontId="1" fillId="2" borderId="27" xfId="1" applyBorder="1"/>
    <xf numFmtId="0" fontId="1" fillId="4" borderId="10" xfId="1" applyFill="1" applyBorder="1"/>
    <xf numFmtId="0" fontId="1" fillId="4" borderId="11" xfId="1" applyFill="1" applyBorder="1"/>
    <xf numFmtId="0" fontId="1" fillId="4" borderId="13" xfId="1" applyFill="1" applyBorder="1"/>
    <xf numFmtId="39" fontId="1" fillId="2" borderId="0" xfId="1" applyNumberFormat="1"/>
    <xf numFmtId="0" fontId="1" fillId="2" borderId="20" xfId="1" applyBorder="1"/>
    <xf numFmtId="0" fontId="4" fillId="4" borderId="22" xfId="1" applyFont="1" applyFill="1" applyBorder="1"/>
    <xf numFmtId="0" fontId="4" fillId="2" borderId="22" xfId="1" applyFont="1" applyBorder="1"/>
    <xf numFmtId="0" fontId="4" fillId="2" borderId="23" xfId="1" applyFont="1" applyBorder="1"/>
    <xf numFmtId="39" fontId="1" fillId="4" borderId="0" xfId="1" applyNumberFormat="1" applyFill="1"/>
    <xf numFmtId="0" fontId="4" fillId="2" borderId="27" xfId="1" applyFont="1" applyBorder="1"/>
    <xf numFmtId="0" fontId="0" fillId="0" borderId="23" xfId="0" applyBorder="1"/>
    <xf numFmtId="0" fontId="8" fillId="2" borderId="0" xfId="1" applyFont="1"/>
    <xf numFmtId="0" fontId="9" fillId="2" borderId="0" xfId="1" applyFont="1" applyAlignment="1">
      <alignment horizontal="right"/>
    </xf>
    <xf numFmtId="0" fontId="10" fillId="0" borderId="0" xfId="0" applyFont="1" applyAlignment="1">
      <alignment horizontal="right"/>
    </xf>
    <xf numFmtId="0" fontId="11" fillId="2" borderId="0" xfId="1" applyFont="1"/>
    <xf numFmtId="0" fontId="12" fillId="2" borderId="0" xfId="1" applyFont="1"/>
    <xf numFmtId="39" fontId="1" fillId="3" borderId="1" xfId="1" applyNumberFormat="1" applyFill="1" applyBorder="1"/>
  </cellXfs>
  <cellStyles count="2">
    <cellStyle name="Normal" xfId="0" builtinId="0"/>
    <cellStyle name="Normal_B.1.4 - V-5530-FY05 - 11-8-2004" xfId="1" xr:uid="{645741E3-81CD-416F-977F-678F6CED1FA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6D10-A7FA-43EB-BACB-846D7DAD6F5B}">
  <sheetPr>
    <pageSetUpPr fitToPage="1"/>
  </sheetPr>
  <dimension ref="A1:O68"/>
  <sheetViews>
    <sheetView tabSelected="1" topLeftCell="A36" workbookViewId="0">
      <selection activeCell="M51" sqref="M51"/>
    </sheetView>
  </sheetViews>
  <sheetFormatPr defaultRowHeight="13.8"/>
  <cols>
    <col min="1" max="1" width="14.5" customWidth="1"/>
    <col min="2" max="2" width="12.69921875" bestFit="1" customWidth="1"/>
    <col min="4" max="4" width="10.296875" customWidth="1"/>
    <col min="5" max="5" width="10.796875" bestFit="1" customWidth="1"/>
    <col min="7" max="7" width="12.19921875" customWidth="1"/>
    <col min="8" max="8" width="10.796875" bestFit="1" customWidth="1"/>
    <col min="9" max="9" width="10.5" bestFit="1" customWidth="1"/>
    <col min="11" max="12" width="11.5" customWidth="1"/>
    <col min="13" max="13" width="11.296875" customWidth="1"/>
    <col min="14" max="14" width="11.69921875" customWidth="1"/>
    <col min="16" max="16" width="10.296875" customWidth="1"/>
  </cols>
  <sheetData>
    <row r="1" spans="1:13" ht="15.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1</v>
      </c>
    </row>
    <row r="2" spans="1:13" ht="21">
      <c r="A2" s="1" t="s">
        <v>2</v>
      </c>
      <c r="B2" s="2"/>
      <c r="C2" s="2"/>
      <c r="D2" s="2"/>
      <c r="E2" s="2"/>
      <c r="F2" s="4" t="s">
        <v>3</v>
      </c>
      <c r="G2" s="5" t="s">
        <v>4</v>
      </c>
      <c r="H2" s="6"/>
      <c r="I2" s="7"/>
      <c r="J2" s="2"/>
      <c r="K2" s="2"/>
      <c r="L2" s="2"/>
      <c r="M2" s="2"/>
    </row>
    <row r="3" spans="1:13" ht="21">
      <c r="A3" s="8" t="s">
        <v>5</v>
      </c>
      <c r="B3" s="9">
        <v>46042</v>
      </c>
      <c r="C3" s="8"/>
      <c r="D3" s="2"/>
      <c r="E3" s="2"/>
      <c r="F3" s="4"/>
      <c r="G3" s="2"/>
      <c r="H3" s="10"/>
      <c r="I3" s="2"/>
      <c r="J3" s="2"/>
      <c r="K3" s="2"/>
      <c r="L3" s="2"/>
      <c r="M3" s="2"/>
    </row>
    <row r="4" spans="1:13" ht="21">
      <c r="A4" s="1" t="s">
        <v>81</v>
      </c>
      <c r="B4" s="73" t="s">
        <v>83</v>
      </c>
      <c r="C4" s="73"/>
      <c r="D4" s="73"/>
      <c r="E4" s="2"/>
      <c r="F4" s="4"/>
      <c r="G4" s="8" t="s">
        <v>84</v>
      </c>
      <c r="H4" s="10"/>
      <c r="I4" s="8"/>
      <c r="J4" s="8"/>
      <c r="K4" s="8"/>
      <c r="L4" s="8"/>
      <c r="M4" s="2"/>
    </row>
    <row r="5" spans="1:13" ht="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6">
      <c r="A6" s="36" t="s">
        <v>6</v>
      </c>
      <c r="B6" s="33"/>
      <c r="C6" s="2"/>
      <c r="D6" s="37" t="s">
        <v>48</v>
      </c>
      <c r="E6" s="25"/>
      <c r="G6" s="37" t="s">
        <v>74</v>
      </c>
      <c r="H6" s="24"/>
      <c r="I6" s="24"/>
      <c r="J6" s="24"/>
      <c r="K6" s="24"/>
      <c r="L6" s="25"/>
    </row>
    <row r="7" spans="1:13" ht="15">
      <c r="A7" s="23" t="s">
        <v>7</v>
      </c>
      <c r="B7" s="35">
        <v>1000</v>
      </c>
      <c r="C7" s="2"/>
      <c r="D7" s="23" t="s">
        <v>34</v>
      </c>
      <c r="E7" s="35">
        <v>200</v>
      </c>
      <c r="G7" s="23"/>
      <c r="H7" s="24" t="s">
        <v>9</v>
      </c>
      <c r="I7" s="24" t="s">
        <v>10</v>
      </c>
      <c r="J7" s="24"/>
      <c r="K7" s="24"/>
      <c r="L7" s="25" t="s">
        <v>11</v>
      </c>
    </row>
    <row r="8" spans="1:13" ht="15">
      <c r="A8" s="26" t="s">
        <v>8</v>
      </c>
      <c r="B8" s="34">
        <v>23</v>
      </c>
      <c r="C8" s="2"/>
      <c r="D8" s="26" t="s">
        <v>15</v>
      </c>
      <c r="E8" s="35">
        <v>10</v>
      </c>
      <c r="G8" s="26" t="s">
        <v>13</v>
      </c>
      <c r="H8" s="14">
        <v>100</v>
      </c>
      <c r="I8" s="35">
        <v>0</v>
      </c>
      <c r="J8" s="28">
        <v>1</v>
      </c>
      <c r="K8" s="15">
        <f t="shared" ref="K8:K14" si="0">+H8+I8</f>
        <v>100</v>
      </c>
      <c r="L8" s="16">
        <f t="shared" ref="L8:L11" si="1">+K8*J8</f>
        <v>100</v>
      </c>
    </row>
    <row r="9" spans="1:13" ht="15">
      <c r="A9" s="26" t="s">
        <v>12</v>
      </c>
      <c r="B9" s="35">
        <v>60</v>
      </c>
      <c r="C9" s="2"/>
      <c r="D9" s="26" t="s">
        <v>17</v>
      </c>
      <c r="E9" s="35">
        <v>0</v>
      </c>
      <c r="G9" s="26" t="s">
        <v>15</v>
      </c>
      <c r="H9" s="14"/>
      <c r="I9" s="35">
        <v>0</v>
      </c>
      <c r="J9" s="28">
        <v>0.5</v>
      </c>
      <c r="K9" s="15">
        <f t="shared" si="0"/>
        <v>0</v>
      </c>
      <c r="L9" s="16">
        <f t="shared" si="1"/>
        <v>0</v>
      </c>
    </row>
    <row r="10" spans="1:13" ht="15">
      <c r="A10" s="26" t="s">
        <v>14</v>
      </c>
      <c r="B10" s="35">
        <v>150</v>
      </c>
      <c r="C10" s="2"/>
      <c r="D10" s="26" t="s">
        <v>19</v>
      </c>
      <c r="E10" s="35">
        <v>0</v>
      </c>
      <c r="G10" s="26" t="s">
        <v>17</v>
      </c>
      <c r="H10" s="14"/>
      <c r="I10" s="35">
        <v>0</v>
      </c>
      <c r="J10" s="28">
        <v>0.25</v>
      </c>
      <c r="K10" s="15">
        <f t="shared" si="0"/>
        <v>0</v>
      </c>
      <c r="L10" s="16">
        <f t="shared" si="1"/>
        <v>0</v>
      </c>
    </row>
    <row r="11" spans="1:13" ht="15">
      <c r="A11" s="26" t="s">
        <v>16</v>
      </c>
      <c r="B11" s="35">
        <v>100</v>
      </c>
      <c r="C11" s="2"/>
      <c r="D11" s="26" t="s">
        <v>21</v>
      </c>
      <c r="E11" s="35">
        <v>500</v>
      </c>
      <c r="G11" s="26" t="s">
        <v>19</v>
      </c>
      <c r="H11" s="14"/>
      <c r="I11" s="35">
        <v>0</v>
      </c>
      <c r="J11" s="28">
        <v>0.1</v>
      </c>
      <c r="K11" s="15">
        <f t="shared" si="0"/>
        <v>0</v>
      </c>
      <c r="L11" s="16">
        <f t="shared" si="1"/>
        <v>0</v>
      </c>
    </row>
    <row r="12" spans="1:13" ht="15">
      <c r="A12" s="26" t="s">
        <v>18</v>
      </c>
      <c r="B12" s="34">
        <v>200</v>
      </c>
      <c r="C12" s="2"/>
      <c r="D12" s="26" t="s">
        <v>22</v>
      </c>
      <c r="E12" s="35">
        <v>12</v>
      </c>
      <c r="G12" s="26" t="s">
        <v>21</v>
      </c>
      <c r="H12" s="14">
        <v>200</v>
      </c>
      <c r="I12" s="14"/>
      <c r="J12" s="28">
        <v>0.05</v>
      </c>
      <c r="K12" s="15">
        <f>+H12+I12</f>
        <v>200</v>
      </c>
      <c r="L12" s="16">
        <f>+K12*J12</f>
        <v>10</v>
      </c>
    </row>
    <row r="13" spans="1:13" ht="15">
      <c r="A13" s="26" t="s">
        <v>20</v>
      </c>
      <c r="B13" s="34">
        <v>400</v>
      </c>
      <c r="C13" s="2"/>
      <c r="D13" s="30"/>
      <c r="E13" s="39"/>
      <c r="G13" s="26" t="s">
        <v>22</v>
      </c>
      <c r="H13" s="14">
        <v>100</v>
      </c>
      <c r="I13" s="35">
        <v>0</v>
      </c>
      <c r="J13" s="44">
        <v>0.01</v>
      </c>
      <c r="K13" s="15">
        <f t="shared" si="0"/>
        <v>100</v>
      </c>
      <c r="L13" s="16">
        <f>+K13*J12</f>
        <v>5</v>
      </c>
    </row>
    <row r="14" spans="1:13" ht="15">
      <c r="A14" s="30" t="s">
        <v>75</v>
      </c>
      <c r="B14" s="41"/>
      <c r="C14" s="2"/>
      <c r="D14" s="30" t="s">
        <v>49</v>
      </c>
      <c r="E14" s="38">
        <f>SUM(E7:E12)</f>
        <v>722</v>
      </c>
      <c r="G14" s="42"/>
      <c r="H14" s="43"/>
      <c r="I14" s="35">
        <v>0</v>
      </c>
      <c r="K14" s="15">
        <f t="shared" si="0"/>
        <v>0</v>
      </c>
      <c r="L14" s="16">
        <f>+K14*J13</f>
        <v>0</v>
      </c>
    </row>
    <row r="15" spans="1:13" ht="15">
      <c r="A15" s="30" t="s">
        <v>23</v>
      </c>
      <c r="B15" s="40">
        <f>SUM(B7:B14)</f>
        <v>1933</v>
      </c>
      <c r="C15" s="2"/>
      <c r="D15" s="2"/>
      <c r="G15" s="30"/>
      <c r="H15" s="7"/>
      <c r="I15" s="7"/>
      <c r="J15" s="7"/>
      <c r="K15" s="31" t="s">
        <v>30</v>
      </c>
      <c r="L15" s="40">
        <f>SUM(L8:L14)</f>
        <v>115</v>
      </c>
    </row>
    <row r="17" spans="1:13" ht="15.6">
      <c r="A17" s="36" t="s">
        <v>50</v>
      </c>
      <c r="B17" s="51"/>
      <c r="C17" s="52"/>
      <c r="E17" s="36" t="s">
        <v>51</v>
      </c>
      <c r="F17" s="51"/>
      <c r="G17" s="51"/>
      <c r="H17" s="51"/>
      <c r="I17" s="51"/>
      <c r="J17" s="11"/>
      <c r="K17" s="11"/>
      <c r="L17" s="12"/>
    </row>
    <row r="18" spans="1:13" ht="15">
      <c r="A18" s="23" t="s">
        <v>24</v>
      </c>
      <c r="B18" s="24" t="s">
        <v>25</v>
      </c>
      <c r="C18" s="25" t="s">
        <v>11</v>
      </c>
      <c r="E18" s="23" t="s">
        <v>26</v>
      </c>
      <c r="F18" s="24"/>
      <c r="G18" s="24" t="s">
        <v>27</v>
      </c>
      <c r="H18" s="24" t="s">
        <v>28</v>
      </c>
      <c r="I18" s="24" t="s">
        <v>26</v>
      </c>
      <c r="J18" s="24"/>
      <c r="K18" s="24" t="s">
        <v>27</v>
      </c>
      <c r="L18" s="25" t="s">
        <v>28</v>
      </c>
      <c r="M18" s="2"/>
    </row>
    <row r="19" spans="1:13" ht="15">
      <c r="A19" s="26" t="s">
        <v>13</v>
      </c>
      <c r="B19" s="14">
        <v>10</v>
      </c>
      <c r="C19" s="35">
        <v>0</v>
      </c>
      <c r="E19" s="48">
        <v>3</v>
      </c>
      <c r="F19" s="49" t="s">
        <v>29</v>
      </c>
      <c r="G19" s="35">
        <v>400</v>
      </c>
      <c r="H19" s="19">
        <f>E19*G19</f>
        <v>1200</v>
      </c>
      <c r="I19" s="20"/>
      <c r="J19" s="49" t="s">
        <v>29</v>
      </c>
      <c r="K19" s="18"/>
      <c r="L19" s="19">
        <f>I19*K19</f>
        <v>0</v>
      </c>
      <c r="M19" s="2"/>
    </row>
    <row r="20" spans="1:13" ht="15">
      <c r="A20" s="26" t="s">
        <v>17</v>
      </c>
      <c r="B20" s="14">
        <v>4</v>
      </c>
      <c r="C20" s="35">
        <v>0</v>
      </c>
      <c r="E20" s="48">
        <v>5</v>
      </c>
      <c r="F20" s="49" t="s">
        <v>29</v>
      </c>
      <c r="G20" s="35">
        <v>200</v>
      </c>
      <c r="H20" s="19">
        <f>E20*G20</f>
        <v>1000</v>
      </c>
      <c r="I20" s="20"/>
      <c r="J20" s="49" t="s">
        <v>29</v>
      </c>
      <c r="K20" s="18"/>
      <c r="L20" s="19">
        <f>I20*K20</f>
        <v>0</v>
      </c>
      <c r="M20" s="2"/>
    </row>
    <row r="21" spans="1:13" ht="15">
      <c r="A21" s="26" t="s">
        <v>19</v>
      </c>
      <c r="B21" s="14">
        <v>3</v>
      </c>
      <c r="C21" s="35">
        <v>0</v>
      </c>
      <c r="E21" s="48">
        <v>1</v>
      </c>
      <c r="F21" s="49" t="s">
        <v>29</v>
      </c>
      <c r="G21" s="35">
        <v>800</v>
      </c>
      <c r="H21" s="19">
        <f>E21*G21</f>
        <v>800</v>
      </c>
      <c r="I21" s="20"/>
      <c r="J21" s="49" t="s">
        <v>29</v>
      </c>
      <c r="K21" s="18"/>
      <c r="L21" s="19">
        <f>I21*K21</f>
        <v>0</v>
      </c>
      <c r="M21" s="2"/>
    </row>
    <row r="22" spans="1:13" ht="15">
      <c r="A22" s="26" t="s">
        <v>21</v>
      </c>
      <c r="B22" s="14">
        <v>5</v>
      </c>
      <c r="C22" s="35">
        <v>0</v>
      </c>
      <c r="E22" s="48"/>
      <c r="F22" s="49" t="s">
        <v>29</v>
      </c>
      <c r="G22" s="18"/>
      <c r="H22" s="19">
        <f>E22*G22</f>
        <v>0</v>
      </c>
      <c r="I22" s="20"/>
      <c r="J22" s="49" t="s">
        <v>29</v>
      </c>
      <c r="K22" s="18"/>
      <c r="L22" s="19">
        <f>I22*K22</f>
        <v>0</v>
      </c>
      <c r="M22" s="2"/>
    </row>
    <row r="23" spans="1:13" ht="15">
      <c r="A23" s="26"/>
      <c r="B23" s="45"/>
      <c r="C23" s="50"/>
      <c r="E23" s="48"/>
      <c r="F23" s="49" t="s">
        <v>29</v>
      </c>
      <c r="G23" s="35">
        <v>0</v>
      </c>
      <c r="H23" s="19">
        <f>E23*G23</f>
        <v>0</v>
      </c>
      <c r="I23" s="20"/>
      <c r="J23" s="49" t="s">
        <v>29</v>
      </c>
      <c r="K23" s="18"/>
      <c r="L23" s="19">
        <f>I23*K23</f>
        <v>0</v>
      </c>
      <c r="M23" s="2"/>
    </row>
    <row r="24" spans="1:13" ht="15">
      <c r="A24" s="46"/>
      <c r="B24" s="47" t="s">
        <v>31</v>
      </c>
      <c r="C24" s="17">
        <f>SUM(C19:C23)</f>
        <v>0</v>
      </c>
      <c r="E24" s="26"/>
      <c r="F24" s="2"/>
      <c r="G24" s="2"/>
      <c r="H24" s="49"/>
      <c r="I24" s="2"/>
      <c r="J24" s="2"/>
      <c r="K24" s="2"/>
      <c r="L24" s="29"/>
      <c r="M24" s="2"/>
    </row>
    <row r="25" spans="1:13" ht="15">
      <c r="E25" s="46"/>
      <c r="F25" s="47"/>
      <c r="G25" s="47"/>
      <c r="H25" s="56"/>
      <c r="I25" s="47"/>
      <c r="J25" s="47"/>
      <c r="K25" s="57" t="s">
        <v>52</v>
      </c>
      <c r="L25" s="17">
        <f>H19+H20+H21+H23+L19+L20+L21+L23+L22+H22</f>
        <v>3000</v>
      </c>
      <c r="M25" s="2"/>
    </row>
    <row r="26" spans="1:13" ht="15">
      <c r="M26" s="2"/>
    </row>
    <row r="27" spans="1:13" ht="15.6">
      <c r="A27" s="36" t="s">
        <v>32</v>
      </c>
      <c r="B27" s="51"/>
      <c r="C27" s="51"/>
      <c r="D27" s="51"/>
      <c r="E27" s="12"/>
      <c r="M27" s="2"/>
    </row>
    <row r="28" spans="1:13" ht="15">
      <c r="A28" s="23" t="s">
        <v>33</v>
      </c>
      <c r="B28" s="24"/>
      <c r="C28" s="24"/>
      <c r="D28" s="24"/>
      <c r="E28" s="25"/>
      <c r="G28" s="2"/>
      <c r="H28" s="2"/>
      <c r="I28" s="2"/>
      <c r="J28" s="2"/>
      <c r="K28" s="2"/>
      <c r="L28" s="2"/>
      <c r="M28" s="2"/>
    </row>
    <row r="29" spans="1:13" ht="15">
      <c r="A29" s="48"/>
      <c r="B29" s="49" t="s">
        <v>29</v>
      </c>
      <c r="C29" s="14"/>
      <c r="D29" s="2"/>
      <c r="E29" s="19">
        <v>0</v>
      </c>
      <c r="F29" s="2"/>
      <c r="M29" s="2"/>
    </row>
    <row r="30" spans="1:13" ht="15">
      <c r="A30" s="48"/>
      <c r="B30" s="49" t="s">
        <v>29</v>
      </c>
      <c r="C30" s="14"/>
      <c r="D30" s="2"/>
      <c r="E30" s="19">
        <f>A30*C30</f>
        <v>0</v>
      </c>
      <c r="F30" s="2"/>
    </row>
    <row r="31" spans="1:13" ht="15">
      <c r="A31" s="48"/>
      <c r="B31" s="49" t="s">
        <v>29</v>
      </c>
      <c r="C31" s="14"/>
      <c r="D31" s="2"/>
      <c r="E31" s="19">
        <f>A31*C31</f>
        <v>0</v>
      </c>
      <c r="F31" s="2"/>
    </row>
    <row r="32" spans="1:13" ht="15">
      <c r="A32" s="53"/>
      <c r="B32" s="49" t="s">
        <v>29</v>
      </c>
      <c r="C32" s="45"/>
      <c r="D32" s="2"/>
      <c r="E32" s="54">
        <f>A32*C32</f>
        <v>0</v>
      </c>
      <c r="F32" s="2"/>
    </row>
    <row r="33" spans="1:15" ht="15">
      <c r="A33" s="55"/>
      <c r="B33" s="56"/>
      <c r="C33" s="56" t="s">
        <v>35</v>
      </c>
      <c r="D33" s="47"/>
      <c r="E33" s="19">
        <f>SUM(E29:E32)</f>
        <v>0</v>
      </c>
      <c r="F33" s="2"/>
    </row>
    <row r="34" spans="1:15" ht="15">
      <c r="F34" s="2"/>
    </row>
    <row r="35" spans="1:15" ht="15">
      <c r="F35" s="2"/>
    </row>
    <row r="36" spans="1:15" ht="15.6">
      <c r="A36" s="63" t="s">
        <v>76</v>
      </c>
      <c r="B36" s="56"/>
      <c r="C36" s="56"/>
      <c r="D36" s="47"/>
      <c r="E36" s="57"/>
      <c r="F36" s="2"/>
    </row>
    <row r="37" spans="1:15" ht="15">
      <c r="A37" s="58"/>
      <c r="B37" s="59"/>
      <c r="C37" s="59"/>
      <c r="D37" s="24"/>
      <c r="E37" s="25"/>
      <c r="F37" s="2"/>
    </row>
    <row r="38" spans="1:15" ht="15">
      <c r="A38" s="60" t="s">
        <v>36</v>
      </c>
      <c r="B38" s="13">
        <v>500</v>
      </c>
      <c r="C38" s="49"/>
      <c r="D38" s="2"/>
      <c r="E38" s="27"/>
      <c r="F38" s="2"/>
      <c r="K38" s="2"/>
      <c r="L38" s="2"/>
    </row>
    <row r="39" spans="1:15" ht="15.6">
      <c r="A39" s="60" t="s">
        <v>37</v>
      </c>
      <c r="B39" s="13">
        <v>100</v>
      </c>
      <c r="C39" s="49"/>
      <c r="D39" s="2"/>
      <c r="E39" s="27"/>
      <c r="F39" s="2"/>
      <c r="G39" s="8"/>
      <c r="H39" s="72" t="s">
        <v>41</v>
      </c>
      <c r="I39" s="72"/>
      <c r="J39" s="72"/>
      <c r="K39" s="8"/>
      <c r="L39" s="8"/>
      <c r="M39" s="2"/>
    </row>
    <row r="40" spans="1:15" ht="15">
      <c r="A40" s="26"/>
      <c r="B40" s="61"/>
      <c r="C40" s="2"/>
      <c r="D40" s="2"/>
      <c r="E40" s="27"/>
      <c r="F40" s="2"/>
      <c r="G40" s="70" t="s">
        <v>53</v>
      </c>
      <c r="H40" s="2" t="s">
        <v>36</v>
      </c>
      <c r="I40" s="2"/>
      <c r="J40" s="2"/>
      <c r="L40" s="21">
        <f>B15</f>
        <v>1933</v>
      </c>
      <c r="M40" s="32"/>
    </row>
    <row r="41" spans="1:15" ht="15">
      <c r="A41" s="30" t="s">
        <v>38</v>
      </c>
      <c r="B41" s="19"/>
      <c r="C41" s="7"/>
      <c r="D41" s="7"/>
      <c r="E41" s="62"/>
      <c r="F41" s="2"/>
      <c r="G41" s="70" t="s">
        <v>54</v>
      </c>
      <c r="H41" s="2" t="s">
        <v>59</v>
      </c>
      <c r="I41" s="2"/>
      <c r="J41" s="2"/>
      <c r="L41" s="21">
        <f>+E14</f>
        <v>722</v>
      </c>
    </row>
    <row r="42" spans="1:15" ht="15">
      <c r="A42" s="2"/>
      <c r="B42" s="2"/>
      <c r="C42" s="2"/>
      <c r="D42" s="2"/>
      <c r="E42" s="2"/>
      <c r="F42" s="2"/>
      <c r="G42" s="70" t="s">
        <v>55</v>
      </c>
      <c r="H42" s="2" t="s">
        <v>60</v>
      </c>
      <c r="I42" s="2"/>
      <c r="J42" s="2"/>
      <c r="L42" s="21">
        <f>+L15</f>
        <v>115</v>
      </c>
    </row>
    <row r="43" spans="1:15" ht="15.6">
      <c r="A43" s="64" t="s">
        <v>39</v>
      </c>
      <c r="B43" s="65"/>
      <c r="C43" s="65"/>
      <c r="D43" s="47"/>
      <c r="E43" s="57"/>
      <c r="F43" s="2"/>
      <c r="G43" s="70" t="s">
        <v>56</v>
      </c>
      <c r="H43" s="2" t="s">
        <v>61</v>
      </c>
      <c r="I43" s="2"/>
      <c r="J43" s="2"/>
      <c r="L43" s="21">
        <f>+C24</f>
        <v>0</v>
      </c>
    </row>
    <row r="44" spans="1:15" ht="15">
      <c r="A44" s="26" t="s">
        <v>40</v>
      </c>
      <c r="B44" s="2"/>
      <c r="C44" s="2"/>
      <c r="D44" s="2"/>
      <c r="E44" s="27"/>
      <c r="F44" s="2"/>
      <c r="G44" s="70" t="s">
        <v>57</v>
      </c>
      <c r="H44" s="2" t="s">
        <v>62</v>
      </c>
      <c r="I44" s="2"/>
      <c r="J44" s="2"/>
      <c r="L44" s="21">
        <f>+L25</f>
        <v>3000</v>
      </c>
    </row>
    <row r="45" spans="1:15" ht="15">
      <c r="A45" s="26" t="s">
        <v>42</v>
      </c>
      <c r="B45" s="2"/>
      <c r="C45" s="2"/>
      <c r="D45" s="2"/>
      <c r="E45" s="27"/>
      <c r="F45" s="2"/>
      <c r="G45" s="70" t="s">
        <v>58</v>
      </c>
      <c r="H45" s="2" t="s">
        <v>63</v>
      </c>
      <c r="I45" s="2"/>
      <c r="J45" s="2"/>
      <c r="L45" s="21">
        <f>+E33</f>
        <v>0</v>
      </c>
    </row>
    <row r="46" spans="1:15" ht="15">
      <c r="A46" s="26"/>
      <c r="B46" s="2"/>
      <c r="C46" s="2"/>
      <c r="D46" s="2"/>
      <c r="E46" s="27"/>
      <c r="F46" s="2"/>
      <c r="G46" s="70" t="s">
        <v>64</v>
      </c>
      <c r="H46" s="69" t="s">
        <v>77</v>
      </c>
      <c r="I46" s="2"/>
      <c r="J46" s="2"/>
      <c r="L46" s="21">
        <f>+B41</f>
        <v>0</v>
      </c>
    </row>
    <row r="47" spans="1:15" ht="15">
      <c r="A47" s="30" t="s">
        <v>43</v>
      </c>
      <c r="B47" s="74">
        <v>34</v>
      </c>
      <c r="C47" s="7"/>
      <c r="D47" s="7"/>
      <c r="E47" s="62"/>
      <c r="F47" s="2"/>
      <c r="G47" s="70"/>
      <c r="H47" s="2" t="s">
        <v>65</v>
      </c>
      <c r="I47" s="2"/>
      <c r="J47" s="2"/>
      <c r="L47" s="21"/>
      <c r="O47" s="2"/>
    </row>
    <row r="48" spans="1:15" ht="15">
      <c r="A48" s="2"/>
      <c r="B48" s="2"/>
      <c r="C48" s="2"/>
      <c r="D48" s="2"/>
      <c r="E48" s="2"/>
      <c r="F48" s="2"/>
      <c r="G48" s="70"/>
      <c r="H48" s="2" t="s">
        <v>45</v>
      </c>
      <c r="I48" s="2"/>
      <c r="J48" s="2"/>
      <c r="L48" s="21">
        <f>SUM(L40:L47)</f>
        <v>5770</v>
      </c>
      <c r="O48" s="2"/>
    </row>
    <row r="49" spans="1:15" ht="15">
      <c r="A49" s="2"/>
      <c r="B49" s="2"/>
      <c r="C49" s="2"/>
      <c r="D49" s="2"/>
      <c r="E49" s="2"/>
      <c r="F49" s="2"/>
      <c r="G49" s="70" t="s">
        <v>73</v>
      </c>
      <c r="H49" s="2" t="s">
        <v>66</v>
      </c>
      <c r="I49" s="2"/>
      <c r="J49" s="2"/>
      <c r="L49" s="21">
        <f>+B47</f>
        <v>34</v>
      </c>
      <c r="O49" s="2"/>
    </row>
    <row r="50" spans="1:15" ht="15.6">
      <c r="A50" s="64" t="s">
        <v>44</v>
      </c>
      <c r="B50" s="65"/>
      <c r="C50" s="65"/>
      <c r="D50" s="65"/>
      <c r="E50" s="67"/>
      <c r="F50" s="2"/>
      <c r="G50" s="71" t="s">
        <v>72</v>
      </c>
      <c r="H50" s="69" t="s">
        <v>80</v>
      </c>
      <c r="L50" s="21">
        <f>+E56</f>
        <v>-4.1500000000000004</v>
      </c>
      <c r="O50" s="2"/>
    </row>
    <row r="51" spans="1:15" ht="15">
      <c r="A51" s="26" t="s">
        <v>78</v>
      </c>
      <c r="B51" s="2"/>
      <c r="C51" s="2"/>
      <c r="D51" s="2"/>
      <c r="E51" s="35">
        <v>-4.1500000000000004</v>
      </c>
      <c r="F51" s="2"/>
      <c r="G51" s="70" t="s">
        <v>67</v>
      </c>
      <c r="H51" s="2" t="s">
        <v>69</v>
      </c>
      <c r="I51" s="2"/>
      <c r="J51" s="2"/>
      <c r="L51" s="21">
        <v>3000</v>
      </c>
      <c r="O51" s="2"/>
    </row>
    <row r="52" spans="1:15" ht="15">
      <c r="A52" s="26"/>
      <c r="C52" s="2"/>
      <c r="D52" s="2"/>
      <c r="E52" s="27"/>
      <c r="F52" s="2"/>
      <c r="G52" s="70" t="s">
        <v>68</v>
      </c>
      <c r="H52" s="2" t="s">
        <v>70</v>
      </c>
      <c r="I52" s="2"/>
      <c r="J52" s="2"/>
      <c r="L52" s="21">
        <f>L47+L48+L49+L50+L51</f>
        <v>8799.85</v>
      </c>
      <c r="O52" s="2"/>
    </row>
    <row r="53" spans="1:15" ht="15">
      <c r="A53" s="26" t="s">
        <v>79</v>
      </c>
      <c r="B53" s="66"/>
      <c r="C53" s="2"/>
      <c r="D53" s="2"/>
      <c r="E53" s="13">
        <v>0</v>
      </c>
      <c r="F53" s="2"/>
      <c r="G53" s="69"/>
      <c r="H53" s="2" t="s">
        <v>47</v>
      </c>
      <c r="I53" s="2"/>
      <c r="J53" s="2"/>
      <c r="L53" s="21">
        <v>9000</v>
      </c>
      <c r="O53" s="2"/>
    </row>
    <row r="54" spans="1:15" ht="15">
      <c r="B54" s="2"/>
      <c r="C54" s="2"/>
      <c r="D54" s="2"/>
      <c r="E54" s="27"/>
      <c r="F54" s="2"/>
      <c r="G54" s="69"/>
      <c r="H54" s="2" t="s">
        <v>71</v>
      </c>
      <c r="I54" s="2"/>
      <c r="J54" s="2"/>
      <c r="L54" s="21">
        <f>L53-L52</f>
        <v>200.14999999999964</v>
      </c>
      <c r="O54" s="2"/>
    </row>
    <row r="55" spans="1:15" ht="15">
      <c r="A55" s="26"/>
      <c r="B55" s="61"/>
      <c r="C55" s="2"/>
      <c r="D55" s="2"/>
      <c r="E55" s="27"/>
      <c r="F55" s="2"/>
      <c r="G55" s="69"/>
      <c r="I55" s="2"/>
      <c r="J55" s="2"/>
      <c r="L55" s="21">
        <v>0</v>
      </c>
      <c r="O55" s="2"/>
    </row>
    <row r="56" spans="1:15" ht="15">
      <c r="A56" s="46" t="s">
        <v>46</v>
      </c>
      <c r="B56" s="68"/>
      <c r="C56" s="47"/>
      <c r="D56" s="57"/>
      <c r="E56" s="19">
        <f>E51+E53</f>
        <v>-4.1500000000000004</v>
      </c>
      <c r="F56" s="2"/>
      <c r="O56" s="2"/>
    </row>
    <row r="57" spans="1:15" ht="15">
      <c r="F57" s="2"/>
      <c r="O57" s="2"/>
    </row>
    <row r="58" spans="1:15" ht="15">
      <c r="A58" s="2"/>
      <c r="B58" s="2"/>
      <c r="C58" s="2"/>
      <c r="D58" s="2"/>
      <c r="E58" s="2"/>
      <c r="F58" s="2"/>
      <c r="O58" s="2"/>
    </row>
    <row r="59" spans="1:15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O59" s="2"/>
    </row>
    <row r="60" spans="1:15" ht="15.6">
      <c r="A60" s="8" t="s">
        <v>82</v>
      </c>
      <c r="B60" s="8"/>
      <c r="C60" s="8"/>
      <c r="D60" s="8"/>
      <c r="E60" s="8"/>
      <c r="F60" s="2"/>
      <c r="G60" s="8"/>
      <c r="H60" s="22"/>
      <c r="I60" s="22"/>
      <c r="J60" s="22"/>
      <c r="K60" s="22"/>
      <c r="L60" s="22"/>
      <c r="O60" s="2"/>
    </row>
    <row r="61" spans="1:15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5" ht="15.6">
      <c r="A62" s="2"/>
      <c r="B62" s="2"/>
      <c r="C62" s="2"/>
      <c r="D62" s="2"/>
      <c r="E62" s="2"/>
      <c r="F62" s="8"/>
      <c r="G62" s="2"/>
      <c r="H62" s="2"/>
      <c r="I62" s="2"/>
      <c r="J62" s="2"/>
      <c r="K62" s="2"/>
      <c r="L62" s="2"/>
      <c r="M62" s="8"/>
    </row>
    <row r="63" spans="1:15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5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6">
      <c r="B66" s="2"/>
      <c r="C66" s="2"/>
      <c r="D66" s="2"/>
      <c r="E66" s="2"/>
      <c r="F66" s="2"/>
      <c r="G66" s="2"/>
      <c r="H66" s="8"/>
      <c r="I66" s="2"/>
      <c r="J66" s="2"/>
      <c r="K66" s="2"/>
      <c r="L66" s="2"/>
      <c r="M66" s="2"/>
    </row>
    <row r="67" spans="1:13" ht="15">
      <c r="F67" s="2"/>
      <c r="M67" s="2"/>
    </row>
    <row r="68" spans="1:13" ht="15">
      <c r="F68" s="2"/>
      <c r="M68" s="2"/>
    </row>
  </sheetData>
  <pageMargins left="0.7" right="0.7" top="0.75" bottom="0.75" header="0.3" footer="0.3"/>
  <pageSetup scale="5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CDF4AE13F64D40BBB65824B29FAA7E" ma:contentTypeVersion="8" ma:contentTypeDescription="Create a new document." ma:contentTypeScope="" ma:versionID="0d2301f73a884384ddd5c8a4d00c99b5">
  <xsd:schema xmlns:xsd="http://www.w3.org/2001/XMLSchema" xmlns:xs="http://www.w3.org/2001/XMLSchema" xmlns:p="http://schemas.microsoft.com/office/2006/metadata/properties" xmlns:ns2="165b96c2-f4bb-42d4-bd0e-5bd22b3c2c99" targetNamespace="http://schemas.microsoft.com/office/2006/metadata/properties" ma:root="true" ma:fieldsID="f44d8ff651ee59b55465c93f60004624" ns2:_="">
    <xsd:import namespace="165b96c2-f4bb-42d4-bd0e-5bd22b3c2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b96c2-f4bb-42d4-bd0e-5bd22b3c2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77FD12-FF7E-4FED-B391-03DF70F459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46D7E8-5F30-4E91-A1E5-4030A3C19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b96c2-f4bb-42d4-bd0e-5bd22b3c2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4100DD-9604-4D6D-B080-152095F3FAE0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165b96c2-f4bb-42d4-bd0e-5bd22b3c2c99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1-20-26</vt:lpstr>
      <vt:lpstr>'1-20-26'!Print_Area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Spoor, Jamie</dc:creator>
  <cp:keywords/>
  <dc:description/>
  <cp:lastModifiedBy>Pankhuri Gupta</cp:lastModifiedBy>
  <cp:revision/>
  <cp:lastPrinted>2026-02-23T14:49:22Z</cp:lastPrinted>
  <dcterms:created xsi:type="dcterms:W3CDTF">2026-01-06T14:45:26Z</dcterms:created>
  <dcterms:modified xsi:type="dcterms:W3CDTF">2026-03-25T15:33:32Z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0x010100F1CDF4AE13F64D40BBB65824B29FAA7E</vt:lpwstr>
  </property>
</Properties>
</file>